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GitHub\SaaS_Product_Analysis_Based_on_Customer_Feedback_and_Competitor_Performance\data_qa\"/>
    </mc:Choice>
  </mc:AlternateContent>
  <xr:revisionPtr revIDLastSave="0" documentId="13_ncr:1_{BA364FA3-8E22-40CB-BE8E-D6799079FF72}" xr6:coauthVersionLast="47" xr6:coauthVersionMax="47" xr10:uidLastSave="{00000000-0000-0000-0000-000000000000}"/>
  <bookViews>
    <workbookView xWindow="-108" yWindow="-108" windowWidth="23256" windowHeight="12456" activeTab="3" xr2:uid="{00000000-000D-0000-FFFF-FFFF00000000}"/>
  </bookViews>
  <sheets>
    <sheet name="DATA Quality" sheetId="1" r:id="rId1"/>
    <sheet name="Issues Reduced" sheetId="9" r:id="rId2"/>
    <sheet name="PT_Data_Quality" sheetId="13" r:id="rId3"/>
    <sheet name="PT_Issues" sheetId="14" r:id="rId4"/>
  </sheets>
  <definedNames>
    <definedName name="Slicer_product">#N/A</definedName>
    <definedName name="Slicer_product1">#N/A</definedName>
  </definedNames>
  <calcPr calcId="181029"/>
  <pivotCaches>
    <pivotCache cacheId="19" r:id="rId5"/>
    <pivotCache cacheId="2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9" l="1"/>
  <c r="A5" i="9"/>
  <c r="A4" i="9"/>
  <c r="A2" i="9"/>
  <c r="E3" i="9"/>
  <c r="E4" i="9"/>
  <c r="E5" i="9"/>
  <c r="E2" i="9"/>
  <c r="D3" i="9"/>
  <c r="D4" i="9"/>
  <c r="D5" i="9"/>
  <c r="D2" i="9"/>
</calcChain>
</file>

<file path=xl/sharedStrings.xml><?xml version="1.0" encoding="utf-8"?>
<sst xmlns="http://schemas.openxmlformats.org/spreadsheetml/2006/main" count="38" uniqueCount="28">
  <si>
    <t>rows_before_clean</t>
  </si>
  <si>
    <t>rows_after_clean</t>
  </si>
  <si>
    <t>rows_rem</t>
  </si>
  <si>
    <t>duplicate_reduc</t>
  </si>
  <si>
    <t>completeness</t>
  </si>
  <si>
    <t>uniqueness</t>
  </si>
  <si>
    <t>validity</t>
  </si>
  <si>
    <t>row_retention</t>
  </si>
  <si>
    <t>Zoom</t>
  </si>
  <si>
    <t>Teams</t>
  </si>
  <si>
    <t>Meet</t>
  </si>
  <si>
    <t>Webex</t>
  </si>
  <si>
    <t>product</t>
  </si>
  <si>
    <t>total_issues</t>
  </si>
  <si>
    <t>reduced_Issues</t>
  </si>
  <si>
    <t>issues_dif</t>
  </si>
  <si>
    <t>issues_reduction(%)</t>
  </si>
  <si>
    <t>Row Labels</t>
  </si>
  <si>
    <t>Grand Total</t>
  </si>
  <si>
    <t>Column Labels</t>
  </si>
  <si>
    <t>Values</t>
  </si>
  <si>
    <t>Average of completeness</t>
  </si>
  <si>
    <t>Average of uniqueness</t>
  </si>
  <si>
    <t>Average of validity</t>
  </si>
  <si>
    <t>Average of row_retention</t>
  </si>
  <si>
    <t>Sum of total_issues</t>
  </si>
  <si>
    <t>Sum of reduced_Issues</t>
  </si>
  <si>
    <t>Sum of issues_dif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</si>
</sst>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2">
    <xf numFmtId="0" fontId="0" fillId="0" borderId="0" xfId="0"/>
    <xf numFmtId="10" fontId="0" fillId="0" borderId="0" xfId="0" applyNumberFormat="1"/>
    <xf numFmtId="164" fontId="0" fillId="0" borderId="0" xfId="0" applyNumberFormat="1"/>
    <xf numFmtId="0" fontId="0" fillId="0" borderId="0" xfId="0" applyNumberFormat="1"/>
    <xf numFmtId="0" fontId="0" fillId="3" borderId="1" xfId="0" applyFont="1" applyFill="1" applyBorder="1"/>
    <xf numFmtId="164" fontId="0" fillId="3" borderId="1" xfId="0" applyNumberFormat="1" applyFont="1" applyFill="1" applyBorder="1"/>
    <xf numFmtId="0" fontId="0" fillId="0" borderId="1" xfId="0" applyFont="1" applyBorder="1"/>
    <xf numFmtId="0" fontId="1" fillId="2" borderId="0" xfId="0" applyFont="1" applyFill="1" applyBorder="1"/>
    <xf numFmtId="164" fontId="1" fillId="2" borderId="0" xfId="0" applyNumberFormat="1" applyFont="1" applyFill="1" applyBorder="1"/>
    <xf numFmtId="164" fontId="0" fillId="0" borderId="1" xfId="0" applyNumberFormat="1" applyFont="1" applyBorder="1"/>
    <xf numFmtId="0" fontId="0" fillId="0" borderId="0" xfId="0" pivotButton="1"/>
    <xf numFmtId="0" fontId="0" fillId="0" borderId="0" xfId="0" applyAlignment="1">
      <alignment horizontal="left"/>
    </xf>
  </cellXfs>
  <cellStyles count="1">
    <cellStyle name="Normal" xfId="0" builtinId="0"/>
  </cellStyles>
  <dxfs count="37">
    <dxf>
      <numFmt numFmtId="14" formatCode="0.00%"/>
    </dxf>
    <dxf>
      <numFmt numFmtId="164" formatCode="0.0%"/>
    </dxf>
    <dxf>
      <numFmt numFmtId="14" formatCode="0.00%"/>
    </dxf>
    <dxf>
      <numFmt numFmtId="14" formatCode="0.00%"/>
    </dxf>
    <dxf>
      <numFmt numFmtId="164" formatCode="0.0%"/>
    </dxf>
    <dxf>
      <numFmt numFmtId="14" formatCode="0.00%"/>
    </dxf>
    <dxf>
      <numFmt numFmtId="14" formatCode="0.00%"/>
    </dxf>
    <dxf>
      <numFmt numFmtId="164" formatCode="0.0%"/>
    </dxf>
    <dxf>
      <numFmt numFmtId="14" formatCode="0.00%"/>
    </dxf>
    <dxf>
      <numFmt numFmtId="14" formatCode="0.00%"/>
    </dxf>
    <dxf>
      <numFmt numFmtId="164" formatCode="0.0%"/>
    </dxf>
    <dxf>
      <numFmt numFmtId="14" formatCode="0.00%"/>
    </dxf>
    <dxf>
      <numFmt numFmtId="14" formatCode="0.00%"/>
    </dxf>
    <dxf>
      <numFmt numFmtId="164" formatCode="0.0%"/>
    </dxf>
    <dxf>
      <numFmt numFmtId="14" formatCode="0.00%"/>
    </dxf>
    <dxf>
      <numFmt numFmtId="14" formatCode="0.00%"/>
    </dxf>
    <dxf>
      <numFmt numFmtId="164" formatCode="0.0%"/>
    </dxf>
    <dxf>
      <numFmt numFmtId="14" formatCode="0.00%"/>
    </dxf>
    <dxf>
      <numFmt numFmtId="14" formatCode="0.00%"/>
    </dxf>
    <dxf>
      <numFmt numFmtId="164" formatCode="0.0%"/>
    </dxf>
    <dxf>
      <numFmt numFmtId="14" formatCode="0.00%"/>
    </dxf>
    <dxf>
      <numFmt numFmtId="14" formatCode="0.00%"/>
    </dxf>
    <dxf>
      <numFmt numFmtId="164" formatCode="0.0%"/>
    </dxf>
    <dxf>
      <numFmt numFmtId="14" formatCode="0.00%"/>
    </dxf>
    <dxf>
      <numFmt numFmtId="14" formatCode="0.00%"/>
    </dxf>
    <dxf>
      <numFmt numFmtId="14" formatCode="0.00%"/>
    </dxf>
    <dxf>
      <numFmt numFmtId="164" formatCode="0.0%"/>
    </dxf>
    <dxf>
      <numFmt numFmtId="164" formatCode="0.0%"/>
    </dxf>
    <dxf>
      <numFmt numFmtId="14" formatCode="0.00%"/>
    </dxf>
    <dxf>
      <numFmt numFmtId="13" formatCode="0%"/>
    </dxf>
    <dxf>
      <numFmt numFmtId="164" formatCode="0.0%"/>
    </dxf>
    <dxf>
      <numFmt numFmtId="164" formatCode="0.0%"/>
    </dxf>
    <dxf>
      <numFmt numFmtId="164" formatCode="0.0%"/>
    </dxf>
    <dxf>
      <numFmt numFmtId="14" formatCode="0.00%"/>
    </dxf>
    <dxf>
      <numFmt numFmtId="164" formatCode="0.0%"/>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left style="thin">
          <color theme="4" tint="0.39997558519241921"/>
        </left>
        <right style="thin">
          <color theme="4" tint="0.39997558519241921"/>
        </right>
        <top style="thin">
          <color theme="4" tint="0.39997558519241921"/>
        </top>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6</xdr:col>
      <xdr:colOff>647700</xdr:colOff>
      <xdr:row>0</xdr:row>
      <xdr:rowOff>91441</xdr:rowOff>
    </xdr:from>
    <xdr:to>
      <xdr:col>7</xdr:col>
      <xdr:colOff>1127760</xdr:colOff>
      <xdr:row>9</xdr:row>
      <xdr:rowOff>1</xdr:rowOff>
    </xdr:to>
    <mc:AlternateContent xmlns:mc="http://schemas.openxmlformats.org/markup-compatibility/2006">
      <mc:Choice xmlns:a14="http://schemas.microsoft.com/office/drawing/2010/main" Requires="a14">
        <xdr:graphicFrame macro="">
          <xdr:nvGraphicFramePr>
            <xdr:cNvPr id="2" name="product 1">
              <a:extLst>
                <a:ext uri="{FF2B5EF4-FFF2-40B4-BE49-F238E27FC236}">
                  <a16:creationId xmlns:a16="http://schemas.microsoft.com/office/drawing/2014/main" id="{874A9D3E-1EF1-9F32-E015-026BC033B50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7901940" y="91441"/>
              <a:ext cx="182880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800100</xdr:colOff>
      <xdr:row>0</xdr:row>
      <xdr:rowOff>45720</xdr:rowOff>
    </xdr:from>
    <xdr:to>
      <xdr:col>7</xdr:col>
      <xdr:colOff>861060</xdr:colOff>
      <xdr:row>8</xdr:row>
      <xdr:rowOff>137159</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FAB1CE87-86DF-3F0C-7582-ADC050E2330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273040" y="45720"/>
              <a:ext cx="1470660" cy="1554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jjwal Karki" refreshedDate="46267.4624744213" createdVersion="8" refreshedVersion="8" minRefreshableVersion="3" recordCount="4" xr:uid="{91162948-C8C1-46E1-B0F3-E8B7DEEDA32F}">
  <cacheSource type="worksheet">
    <worksheetSource name="Table12"/>
  </cacheSource>
  <cacheFields count="9">
    <cacheField name="product" numFmtId="0">
      <sharedItems count="4">
        <s v="Meet"/>
        <s v="Teams"/>
        <s v="Webex"/>
        <s v="Zoom"/>
      </sharedItems>
    </cacheField>
    <cacheField name="rows_before_clean" numFmtId="0">
      <sharedItems containsSemiMixedTypes="0" containsString="0" containsNumber="1" containsInteger="1" minValue="6000" maxValue="6000"/>
    </cacheField>
    <cacheField name="rows_after_clean" numFmtId="0">
      <sharedItems containsSemiMixedTypes="0" containsString="0" containsNumber="1" containsInteger="1" minValue="5999" maxValue="6000"/>
    </cacheField>
    <cacheField name="rows_rem" numFmtId="0">
      <sharedItems containsSemiMixedTypes="0" containsString="0" containsNumber="1" containsInteger="1" minValue="0" maxValue="1"/>
    </cacheField>
    <cacheField name="duplicate_reduc" numFmtId="0">
      <sharedItems containsSemiMixedTypes="0" containsString="0" containsNumber="1" containsInteger="1" minValue="0" maxValue="1"/>
    </cacheField>
    <cacheField name="completeness" numFmtId="10">
      <sharedItems containsSemiMixedTypes="0" containsString="0" containsNumber="1" minValue="0.92879999999999996" maxValue="0.98599999999999999"/>
    </cacheField>
    <cacheField name="uniqueness" numFmtId="164">
      <sharedItems containsSemiMixedTypes="0" containsString="0" containsNumber="1" containsInteger="1" minValue="1" maxValue="1"/>
    </cacheField>
    <cacheField name="validity" numFmtId="164">
      <sharedItems containsSemiMixedTypes="0" containsString="0" containsNumber="1" containsInteger="1" minValue="1" maxValue="1"/>
    </cacheField>
    <cacheField name="row_retention" numFmtId="0">
      <sharedItems containsSemiMixedTypes="0" containsString="0" containsNumber="1" minValue="0.99983333333333302" maxValue="1"/>
    </cacheField>
  </cacheFields>
  <extLst>
    <ext xmlns:x14="http://schemas.microsoft.com/office/spreadsheetml/2009/9/main" uri="{725AE2AE-9491-48be-B2B4-4EB974FC3084}">
      <x14:pivotCacheDefinition pivotCacheId="16582603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jjwal Karki" refreshedDate="46267.492475694446" createdVersion="8" refreshedVersion="8" minRefreshableVersion="3" recordCount="4" xr:uid="{A87839A3-35E0-4805-9B72-00CA17474206}">
  <cacheSource type="worksheet">
    <worksheetSource name="Table11"/>
  </cacheSource>
  <cacheFields count="5">
    <cacheField name="product" numFmtId="0">
      <sharedItems count="4">
        <s v="Zoom"/>
        <s v="Teams"/>
        <s v="Meet"/>
        <s v="Webex"/>
      </sharedItems>
    </cacheField>
    <cacheField name="total_issues" numFmtId="0">
      <sharedItems containsSemiMixedTypes="0" containsString="0" containsNumber="1" containsInteger="1" minValue="4" maxValue="4"/>
    </cacheField>
    <cacheField name="reduced_Issues" numFmtId="0">
      <sharedItems containsSemiMixedTypes="0" containsString="0" containsNumber="1" containsInteger="1" minValue="3" maxValue="3"/>
    </cacheField>
    <cacheField name="issues_dif" numFmtId="0">
      <sharedItems containsSemiMixedTypes="0" containsString="0" containsNumber="1" containsInteger="1" minValue="1" maxValue="1"/>
    </cacheField>
    <cacheField name="issues_reduction(%)" numFmtId="164">
      <sharedItems containsSemiMixedTypes="0" containsString="0" containsNumber="1" minValue="0.75" maxValue="0.75"/>
    </cacheField>
  </cacheFields>
  <extLst>
    <ext xmlns:x14="http://schemas.microsoft.com/office/spreadsheetml/2009/9/main" uri="{725AE2AE-9491-48be-B2B4-4EB974FC3084}">
      <x14:pivotCacheDefinition pivotCacheId="7156961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6000"/>
    <n v="6000"/>
    <n v="0"/>
    <n v="0"/>
    <n v="0.98599999999999999"/>
    <n v="1"/>
    <n v="1"/>
    <n v="1"/>
  </r>
  <r>
    <x v="1"/>
    <n v="6000"/>
    <n v="5999"/>
    <n v="1"/>
    <n v="1"/>
    <n v="0.96739456576095995"/>
    <n v="1"/>
    <n v="1"/>
    <n v="0.99983333333333302"/>
  </r>
  <r>
    <x v="2"/>
    <n v="6000"/>
    <n v="6000"/>
    <n v="0"/>
    <n v="0"/>
    <n v="0.97130000000000005"/>
    <n v="1"/>
    <n v="1"/>
    <n v="1"/>
  </r>
  <r>
    <x v="3"/>
    <n v="6000"/>
    <n v="6000"/>
    <n v="0"/>
    <n v="0"/>
    <n v="0.92879999999999996"/>
    <n v="1"/>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4"/>
    <n v="3"/>
    <n v="1"/>
    <n v="0.75"/>
  </r>
  <r>
    <x v="1"/>
    <n v="4"/>
    <n v="3"/>
    <n v="1"/>
    <n v="0.75"/>
  </r>
  <r>
    <x v="2"/>
    <n v="4"/>
    <n v="3"/>
    <n v="1"/>
    <n v="0.75"/>
  </r>
  <r>
    <x v="3"/>
    <n v="4"/>
    <n v="3"/>
    <n v="1"/>
    <n v="0.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E53967-C66C-4D23-983E-103C5664C688}"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6" firstHeaderRow="0" firstDataRow="1" firstDataCol="1"/>
  <pivotFields count="9">
    <pivotField axis="axisRow" showAll="0">
      <items count="5">
        <item x="0"/>
        <item x="1"/>
        <item x="2"/>
        <item x="3"/>
        <item t="default"/>
      </items>
    </pivotField>
    <pivotField showAll="0"/>
    <pivotField showAll="0"/>
    <pivotField showAll="0"/>
    <pivotField showAll="0"/>
    <pivotField dataField="1" numFmtId="164" showAll="0"/>
    <pivotField dataField="1" numFmtId="164" showAll="0"/>
    <pivotField dataField="1" numFmtId="164" showAll="0"/>
    <pivotField dataField="1" numFmtId="164" showAll="0"/>
  </pivotFields>
  <rowFields count="1">
    <field x="0"/>
  </rowFields>
  <rowItems count="5">
    <i>
      <x/>
    </i>
    <i>
      <x v="1"/>
    </i>
    <i>
      <x v="2"/>
    </i>
    <i>
      <x v="3"/>
    </i>
    <i t="grand">
      <x/>
    </i>
  </rowItems>
  <colFields count="1">
    <field x="-2"/>
  </colFields>
  <colItems count="4">
    <i>
      <x/>
    </i>
    <i i="1">
      <x v="1"/>
    </i>
    <i i="2">
      <x v="2"/>
    </i>
    <i i="3">
      <x v="3"/>
    </i>
  </colItems>
  <dataFields count="4">
    <dataField name="Average of completeness" fld="5" subtotal="average" baseField="0" baseItem="0" numFmtId="164"/>
    <dataField name="Average of uniqueness" fld="6" subtotal="average" baseField="0" baseItem="0" numFmtId="164"/>
    <dataField name="Average of validity" fld="7" subtotal="average" baseField="0" baseItem="0" numFmtId="164"/>
    <dataField name="Average of row_retention" fld="8" subtotal="average" baseField="0" baseItem="1" numFmtId="164"/>
  </dataFields>
  <formats count="3">
    <format dxfId="28">
      <pivotArea collapsedLevelsAreSubtotals="1" fieldPosition="0">
        <references count="2">
          <reference field="4294967294" count="1">
            <x v="3"/>
          </reference>
          <reference field="0" count="1" selected="0">
            <x v="1"/>
          </reference>
        </references>
      </pivotArea>
    </format>
    <format dxfId="26">
      <pivotArea field="0" grandRow="1" collapsedLevelsAreSubtotals="1" axis="axisRow" fieldPosition="0">
        <references count="1">
          <reference field="4294967294" count="1">
            <x v="3"/>
          </reference>
        </references>
      </pivotArea>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10FF8F-50C3-47D8-AAA9-A90829F54A80}" name="PivotTable2" cacheId="2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5" firstHeaderRow="1" firstDataRow="2" firstDataCol="1"/>
  <pivotFields count="5">
    <pivotField axis="axisCol" showAll="0">
      <items count="5">
        <item x="2"/>
        <item x="1"/>
        <item x="3"/>
        <item x="0"/>
        <item t="default"/>
      </items>
    </pivotField>
    <pivotField dataField="1" showAll="0"/>
    <pivotField dataField="1" showAll="0"/>
    <pivotField dataField="1" showAll="0"/>
    <pivotField numFmtId="164" showAll="0"/>
  </pivotFields>
  <rowFields count="1">
    <field x="-2"/>
  </rowFields>
  <rowItems count="3">
    <i>
      <x/>
    </i>
    <i i="1">
      <x v="1"/>
    </i>
    <i i="2">
      <x v="2"/>
    </i>
  </rowItems>
  <colFields count="1">
    <field x="0"/>
  </colFields>
  <colItems count="5">
    <i>
      <x/>
    </i>
    <i>
      <x v="1"/>
    </i>
    <i>
      <x v="2"/>
    </i>
    <i>
      <x v="3"/>
    </i>
    <i t="grand">
      <x/>
    </i>
  </colItems>
  <dataFields count="3">
    <dataField name="Sum of total_issues" fld="1" baseField="0" baseItem="0"/>
    <dataField name="Sum of reduced_Issues" fld="2" baseField="0" baseItem="0"/>
    <dataField name="Sum of issues_dif"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5E81686-A296-44B7-9DF5-D036041AD7D5}" sourceName="product">
  <pivotTables>
    <pivotTable tabId="14" name="PivotTable2"/>
  </pivotTables>
  <data>
    <tabular pivotCacheId="715696115">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F299F2E-25D6-4028-823B-2AEB9A6D85B9}" sourceName="product">
  <pivotTables>
    <pivotTable tabId="13" name="PivotTable1"/>
  </pivotTables>
  <data>
    <tabular pivotCacheId="165826039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B05AFE0-5CFC-4474-99E8-5BB65232B90B}" cache="Slicer_product1"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8400369-724B-4321-BC3B-DFCB5A45C9C9}"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0C641C8-E17E-4864-A823-6B0B044CD8B5}" name="Table12" displayName="Table12" ref="A1:I5" totalsRowShown="0" headerRowDxfId="34">
  <autoFilter ref="A1:I5" xr:uid="{70C641C8-E17E-4864-A823-6B0B044CD8B5}"/>
  <tableColumns count="9">
    <tableColumn id="1" xr3:uid="{255300D9-3B20-431D-92A4-8B311AD093A8}" name="product"/>
    <tableColumn id="2" xr3:uid="{1E1DD67E-68DF-4F75-8435-58AC8C42AE91}" name="rows_before_clean"/>
    <tableColumn id="3" xr3:uid="{FBAC98E4-EA90-4EAC-A80A-E32FDF7EA0AD}" name="rows_after_clean"/>
    <tableColumn id="4" xr3:uid="{11C01F73-3E61-4548-A510-65CFAD2FF90B}" name="rows_rem"/>
    <tableColumn id="5" xr3:uid="{753D29EC-821F-40AB-B735-4B3FCED9CADD}" name="duplicate_reduc"/>
    <tableColumn id="6" xr3:uid="{3F5A9B95-36D4-4616-AC92-DEA610463961}" name="completeness" dataDxfId="33"/>
    <tableColumn id="7" xr3:uid="{1CE922A8-6811-48B4-9E93-3FAC2FD37210}" name="uniqueness" dataDxfId="32"/>
    <tableColumn id="8" xr3:uid="{D58DDBD3-2367-4CC0-8247-ECAFD598FE93}" name="validity" dataDxfId="31"/>
    <tableColumn id="9" xr3:uid="{1F8FFAEA-9B12-4F92-987B-D71CE2BFA92E}" name="row_retention" dataDxf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A00F067-74BA-4473-9B90-26CC17089166}" name="Table11" displayName="Table11" ref="A1:E5" totalsRowShown="0" headerRowDxfId="35" tableBorderDxfId="36">
  <autoFilter ref="A1:E5" xr:uid="{1A00F067-74BA-4473-9B90-26CC17089166}"/>
  <tableColumns count="5">
    <tableColumn id="1" xr3:uid="{3DAF244A-F962-4411-8473-4EC00494B072}" name="product"/>
    <tableColumn id="2" xr3:uid="{D5871DA8-3458-4210-9131-0BC9DA973561}" name="total_issues"/>
    <tableColumn id="3" xr3:uid="{2F2441AF-EA1A-4982-B12F-D746A1D93F32}" name="reduced_Issues"/>
    <tableColumn id="4" xr3:uid="{5C2C2D4B-6B84-4806-AA92-BE7194895534}" name="issues_dif">
      <calculatedColumnFormula>B2-C2</calculatedColumnFormula>
    </tableColumn>
    <tableColumn id="5" xr3:uid="{83B53BAE-BA42-4EDA-AAF3-D936855D165B}" name="issues_reduction(%)">
      <calculatedColumnFormula>(C2/B2)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
  <sheetViews>
    <sheetView workbookViewId="0">
      <selection activeCell="I11" sqref="I11"/>
    </sheetView>
  </sheetViews>
  <sheetFormatPr defaultRowHeight="14.4" x14ac:dyDescent="0.3"/>
  <cols>
    <col min="1" max="1" width="9.5546875" customWidth="1"/>
    <col min="2" max="2" width="18.88671875" customWidth="1"/>
    <col min="3" max="3" width="17.33203125" customWidth="1"/>
    <col min="4" max="4" width="11.21875" customWidth="1"/>
    <col min="5" max="5" width="16.44140625" customWidth="1"/>
    <col min="6" max="6" width="15.109375" style="1" customWidth="1"/>
    <col min="7" max="7" width="13.6640625" style="2" bestFit="1" customWidth="1"/>
    <col min="8" max="8" width="9" style="2" customWidth="1"/>
    <col min="9" max="9" width="14.88671875" style="2" customWidth="1"/>
  </cols>
  <sheetData>
    <row r="1" spans="1:9" x14ac:dyDescent="0.3">
      <c r="A1" t="s">
        <v>12</v>
      </c>
      <c r="B1" t="s">
        <v>0</v>
      </c>
      <c r="C1" t="s">
        <v>1</v>
      </c>
      <c r="D1" t="s">
        <v>2</v>
      </c>
      <c r="E1" t="s">
        <v>3</v>
      </c>
      <c r="F1" s="1" t="s">
        <v>4</v>
      </c>
      <c r="G1" s="2" t="s">
        <v>5</v>
      </c>
      <c r="H1" s="2" t="s">
        <v>6</v>
      </c>
      <c r="I1" s="2" t="s">
        <v>7</v>
      </c>
    </row>
    <row r="2" spans="1:9" x14ac:dyDescent="0.3">
      <c r="A2" t="s">
        <v>10</v>
      </c>
      <c r="B2">
        <v>6000</v>
      </c>
      <c r="C2">
        <v>6000</v>
      </c>
      <c r="D2">
        <v>0</v>
      </c>
      <c r="E2">
        <v>0</v>
      </c>
      <c r="F2" s="1">
        <v>0.98599999999999999</v>
      </c>
      <c r="G2" s="2">
        <v>1</v>
      </c>
      <c r="H2" s="2">
        <v>1</v>
      </c>
      <c r="I2" s="2">
        <v>1</v>
      </c>
    </row>
    <row r="3" spans="1:9" x14ac:dyDescent="0.3">
      <c r="A3" t="s">
        <v>9</v>
      </c>
      <c r="B3">
        <v>6000</v>
      </c>
      <c r="C3">
        <v>5999</v>
      </c>
      <c r="D3">
        <v>1</v>
      </c>
      <c r="E3">
        <v>1</v>
      </c>
      <c r="F3" s="1">
        <v>0.96739456576095995</v>
      </c>
      <c r="G3" s="2">
        <v>1</v>
      </c>
      <c r="H3" s="2">
        <v>1</v>
      </c>
      <c r="I3" s="1">
        <v>0.99983333333333302</v>
      </c>
    </row>
    <row r="4" spans="1:9" x14ac:dyDescent="0.3">
      <c r="A4" t="s">
        <v>11</v>
      </c>
      <c r="B4">
        <v>6000</v>
      </c>
      <c r="C4">
        <v>6000</v>
      </c>
      <c r="D4">
        <v>0</v>
      </c>
      <c r="E4">
        <v>0</v>
      </c>
      <c r="F4" s="1">
        <v>0.97130000000000005</v>
      </c>
      <c r="G4" s="2">
        <v>1</v>
      </c>
      <c r="H4" s="2">
        <v>1</v>
      </c>
      <c r="I4" s="2">
        <v>1</v>
      </c>
    </row>
    <row r="5" spans="1:9" x14ac:dyDescent="0.3">
      <c r="A5" t="s">
        <v>8</v>
      </c>
      <c r="B5">
        <v>6000</v>
      </c>
      <c r="C5">
        <v>6000</v>
      </c>
      <c r="D5">
        <v>0</v>
      </c>
      <c r="E5">
        <v>0</v>
      </c>
      <c r="F5" s="1">
        <v>0.92879999999999996</v>
      </c>
      <c r="G5" s="2">
        <v>1</v>
      </c>
      <c r="H5" s="2">
        <v>1</v>
      </c>
      <c r="I5" s="2">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52981-935E-4488-9A58-CA16517C1842}">
  <dimension ref="A1:E5"/>
  <sheetViews>
    <sheetView workbookViewId="0">
      <selection activeCell="E9" sqref="E9"/>
    </sheetView>
  </sheetViews>
  <sheetFormatPr defaultRowHeight="14.4" x14ac:dyDescent="0.3"/>
  <cols>
    <col min="1" max="1" width="9.5546875" customWidth="1"/>
    <col min="2" max="2" width="12.6640625" customWidth="1"/>
    <col min="3" max="3" width="15.77734375" customWidth="1"/>
    <col min="4" max="4" width="11" customWidth="1"/>
    <col min="5" max="5" width="19.6640625" style="2" customWidth="1"/>
  </cols>
  <sheetData>
    <row r="1" spans="1:5" x14ac:dyDescent="0.3">
      <c r="A1" s="7" t="s">
        <v>12</v>
      </c>
      <c r="B1" s="7" t="s">
        <v>13</v>
      </c>
      <c r="C1" s="7" t="s">
        <v>14</v>
      </c>
      <c r="D1" s="7" t="s">
        <v>15</v>
      </c>
      <c r="E1" s="8" t="s">
        <v>16</v>
      </c>
    </row>
    <row r="2" spans="1:5" x14ac:dyDescent="0.3">
      <c r="A2" s="4" t="str">
        <f>'DATA Quality'!A5</f>
        <v>Zoom</v>
      </c>
      <c r="B2" s="4">
        <v>4</v>
      </c>
      <c r="C2" s="4">
        <v>3</v>
      </c>
      <c r="D2" s="4">
        <f>B2-C2</f>
        <v>1</v>
      </c>
      <c r="E2" s="5">
        <f>(C2/B2)</f>
        <v>0.75</v>
      </c>
    </row>
    <row r="3" spans="1:5" x14ac:dyDescent="0.3">
      <c r="A3" s="6" t="str">
        <f>'DATA Quality'!A3</f>
        <v>Teams</v>
      </c>
      <c r="B3" s="6">
        <v>4</v>
      </c>
      <c r="C3" s="6">
        <v>3</v>
      </c>
      <c r="D3" s="6">
        <f t="shared" ref="D3:D5" si="0">B3-C3</f>
        <v>1</v>
      </c>
      <c r="E3" s="9">
        <f t="shared" ref="E3:E5" si="1">(C3/B3)</f>
        <v>0.75</v>
      </c>
    </row>
    <row r="4" spans="1:5" x14ac:dyDescent="0.3">
      <c r="A4" s="4" t="str">
        <f>'DATA Quality'!A2</f>
        <v>Meet</v>
      </c>
      <c r="B4" s="4">
        <v>4</v>
      </c>
      <c r="C4" s="4">
        <v>3</v>
      </c>
      <c r="D4" s="4">
        <f t="shared" si="0"/>
        <v>1</v>
      </c>
      <c r="E4" s="5">
        <f t="shared" si="1"/>
        <v>0.75</v>
      </c>
    </row>
    <row r="5" spans="1:5" x14ac:dyDescent="0.3">
      <c r="A5" s="6" t="str">
        <f>'DATA Quality'!A4</f>
        <v>Webex</v>
      </c>
      <c r="B5" s="6">
        <v>4</v>
      </c>
      <c r="C5" s="6">
        <v>3</v>
      </c>
      <c r="D5" s="6">
        <f t="shared" si="0"/>
        <v>1</v>
      </c>
      <c r="E5" s="9">
        <f t="shared" si="1"/>
        <v>0.75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2164-C490-4B00-83BF-98EC204F41A2}">
  <dimension ref="A1:E6"/>
  <sheetViews>
    <sheetView workbookViewId="0">
      <selection activeCell="E12" sqref="E12"/>
    </sheetView>
  </sheetViews>
  <sheetFormatPr defaultRowHeight="14.4" x14ac:dyDescent="0.3"/>
  <cols>
    <col min="1" max="1" width="12.5546875" bestFit="1" customWidth="1"/>
    <col min="2" max="2" width="22.44140625" bestFit="1" customWidth="1"/>
    <col min="3" max="3" width="20.33203125" bestFit="1" customWidth="1"/>
    <col min="4" max="4" width="16.77734375" bestFit="1" customWidth="1"/>
    <col min="5" max="5" width="22.88671875" bestFit="1" customWidth="1"/>
    <col min="6" max="6" width="10.77734375" bestFit="1" customWidth="1"/>
    <col min="7" max="16" width="19.6640625" bestFit="1" customWidth="1"/>
    <col min="17" max="17" width="24" bestFit="1" customWidth="1"/>
    <col min="18" max="18" width="22" bestFit="1" customWidth="1"/>
    <col min="19" max="19" width="18.44140625" bestFit="1" customWidth="1"/>
    <col min="20" max="20" width="24.44140625" bestFit="1" customWidth="1"/>
  </cols>
  <sheetData>
    <row r="1" spans="1:5" x14ac:dyDescent="0.3">
      <c r="A1" s="10" t="s">
        <v>17</v>
      </c>
      <c r="B1" t="s">
        <v>21</v>
      </c>
      <c r="C1" t="s">
        <v>22</v>
      </c>
      <c r="D1" t="s">
        <v>23</v>
      </c>
      <c r="E1" t="s">
        <v>24</v>
      </c>
    </row>
    <row r="2" spans="1:5" x14ac:dyDescent="0.3">
      <c r="A2" s="11" t="s">
        <v>10</v>
      </c>
      <c r="B2" s="1">
        <v>0.98599999999999999</v>
      </c>
      <c r="C2" s="1">
        <v>1</v>
      </c>
      <c r="D2" s="1">
        <v>1</v>
      </c>
      <c r="E2" s="1">
        <v>1</v>
      </c>
    </row>
    <row r="3" spans="1:5" x14ac:dyDescent="0.3">
      <c r="A3" s="11" t="s">
        <v>9</v>
      </c>
      <c r="B3" s="1">
        <v>0.96739456576095995</v>
      </c>
      <c r="C3" s="1">
        <v>1</v>
      </c>
      <c r="D3" s="1">
        <v>1</v>
      </c>
      <c r="E3" s="1">
        <v>0.99983333333333302</v>
      </c>
    </row>
    <row r="4" spans="1:5" x14ac:dyDescent="0.3">
      <c r="A4" s="11" t="s">
        <v>11</v>
      </c>
      <c r="B4" s="1">
        <v>0.97130000000000005</v>
      </c>
      <c r="C4" s="1">
        <v>1</v>
      </c>
      <c r="D4" s="1">
        <v>1</v>
      </c>
      <c r="E4" s="1">
        <v>1</v>
      </c>
    </row>
    <row r="5" spans="1:5" x14ac:dyDescent="0.3">
      <c r="A5" s="11" t="s">
        <v>8</v>
      </c>
      <c r="B5" s="1">
        <v>0.92879999999999996</v>
      </c>
      <c r="C5" s="1">
        <v>1</v>
      </c>
      <c r="D5" s="1">
        <v>1</v>
      </c>
      <c r="E5" s="1">
        <v>1</v>
      </c>
    </row>
    <row r="6" spans="1:5" x14ac:dyDescent="0.3">
      <c r="A6" s="11" t="s">
        <v>18</v>
      </c>
      <c r="B6" s="1">
        <v>0.96337364144023996</v>
      </c>
      <c r="C6" s="1">
        <v>1</v>
      </c>
      <c r="D6" s="1">
        <v>1</v>
      </c>
      <c r="E6" s="1">
        <v>0.99995833333333328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DC6E5-A7F0-4F7E-B40C-147F107EE830}">
  <dimension ref="A1:F5"/>
  <sheetViews>
    <sheetView tabSelected="1" workbookViewId="0">
      <selection activeCell="I9" sqref="I9"/>
    </sheetView>
  </sheetViews>
  <sheetFormatPr defaultRowHeight="14.4" x14ac:dyDescent="0.3"/>
  <cols>
    <col min="1" max="1" width="19.77734375" bestFit="1" customWidth="1"/>
    <col min="2" max="2" width="15.5546875" bestFit="1" customWidth="1"/>
    <col min="3" max="3" width="6.44140625" bestFit="1" customWidth="1"/>
    <col min="4" max="4" width="6.77734375" bestFit="1" customWidth="1"/>
    <col min="5" max="5" width="5.88671875" bestFit="1" customWidth="1"/>
    <col min="6" max="6" width="10.77734375" bestFit="1" customWidth="1"/>
    <col min="7" max="12" width="20.5546875" bestFit="1" customWidth="1"/>
    <col min="13" max="13" width="22.21875" bestFit="1" customWidth="1"/>
    <col min="14" max="14" width="25.44140625" bestFit="1" customWidth="1"/>
    <col min="15" max="15" width="20.44140625" bestFit="1" customWidth="1"/>
  </cols>
  <sheetData>
    <row r="1" spans="1:6" x14ac:dyDescent="0.3">
      <c r="B1" s="10" t="s">
        <v>19</v>
      </c>
    </row>
    <row r="2" spans="1:6" x14ac:dyDescent="0.3">
      <c r="A2" s="10" t="s">
        <v>20</v>
      </c>
      <c r="B2" t="s">
        <v>10</v>
      </c>
      <c r="C2" t="s">
        <v>9</v>
      </c>
      <c r="D2" t="s">
        <v>11</v>
      </c>
      <c r="E2" t="s">
        <v>8</v>
      </c>
      <c r="F2" t="s">
        <v>18</v>
      </c>
    </row>
    <row r="3" spans="1:6" x14ac:dyDescent="0.3">
      <c r="A3" s="11" t="s">
        <v>25</v>
      </c>
      <c r="B3" s="3">
        <v>4</v>
      </c>
      <c r="C3" s="3">
        <v>4</v>
      </c>
      <c r="D3" s="3">
        <v>4</v>
      </c>
      <c r="E3" s="3">
        <v>4</v>
      </c>
      <c r="F3" s="3">
        <v>16</v>
      </c>
    </row>
    <row r="4" spans="1:6" x14ac:dyDescent="0.3">
      <c r="A4" s="11" t="s">
        <v>26</v>
      </c>
      <c r="B4" s="3">
        <v>3</v>
      </c>
      <c r="C4" s="3">
        <v>3</v>
      </c>
      <c r="D4" s="3">
        <v>3</v>
      </c>
      <c r="E4" s="3">
        <v>3</v>
      </c>
      <c r="F4" s="3">
        <v>12</v>
      </c>
    </row>
    <row r="5" spans="1:6" x14ac:dyDescent="0.3">
      <c r="A5" s="11" t="s">
        <v>27</v>
      </c>
      <c r="B5" s="3">
        <v>1</v>
      </c>
      <c r="C5" s="3">
        <v>1</v>
      </c>
      <c r="D5" s="3">
        <v>1</v>
      </c>
      <c r="E5" s="3">
        <v>1</v>
      </c>
      <c r="F5" s="3">
        <v>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Quality</vt:lpstr>
      <vt:lpstr>Issues Reduced</vt:lpstr>
      <vt:lpstr>PT_Data_Quality</vt:lpstr>
      <vt:lpstr>PT_Issues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Ujjwal Karki</dc:creator>
  <cp:lastModifiedBy>Ujjwal Karki</cp:lastModifiedBy>
  <dcterms:created xsi:type="dcterms:W3CDTF">2015-06-05T18:17:20Z</dcterms:created>
  <dcterms:modified xsi:type="dcterms:W3CDTF">2026-09-02T06:13:48Z</dcterms:modified>
</cp:coreProperties>
</file>