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tables/table3.xml" ContentType="application/vnd.openxmlformats-officedocument.spreadsheetml.table+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D:\GitHub\SaaS_Product_Analysis_Based_on_Customer_Feedback_and_Competitor_Performance\data_qa\"/>
    </mc:Choice>
  </mc:AlternateContent>
  <xr:revisionPtr revIDLastSave="0" documentId="13_ncr:1_{C96380B5-F412-4216-9D7E-EFD1632D2E9A}" xr6:coauthVersionLast="47" xr6:coauthVersionMax="47" xr10:uidLastSave="{00000000-0000-0000-0000-000000000000}"/>
  <bookViews>
    <workbookView xWindow="-108" yWindow="-108" windowWidth="23256" windowHeight="12456" firstSheet="1" activeTab="6" xr2:uid="{00000000-000D-0000-FFFF-FFFF00000000}"/>
  </bookViews>
  <sheets>
    <sheet name="DATA Quality" sheetId="1" r:id="rId1"/>
    <sheet name="Issues Reduced" sheetId="9" r:id="rId2"/>
    <sheet name="PT_Data_Quality_Score" sheetId="13" r:id="rId3"/>
    <sheet name="Overall Scoring" sheetId="18" r:id="rId4"/>
    <sheet name="PT_Issues" sheetId="14" r:id="rId5"/>
    <sheet name="KPIs" sheetId="16" r:id="rId6"/>
    <sheet name="Data Quality Dashboard" sheetId="15" r:id="rId7"/>
  </sheets>
  <definedNames>
    <definedName name="Slicer_product">#N/A</definedName>
    <definedName name="Slicer_product1">#N/A</definedName>
    <definedName name="Slicer_Product2">#N/A</definedName>
  </definedNames>
  <calcPr calcId="181029"/>
  <pivotCaches>
    <pivotCache cacheId="6" r:id="rId8"/>
    <pivotCache cacheId="1" r:id="rId9"/>
    <pivotCache cacheId="1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3" i="9" l="1"/>
  <c r="A5" i="9"/>
  <c r="A4" i="9"/>
  <c r="A2" i="9"/>
  <c r="E3" i="9"/>
  <c r="E4" i="9"/>
  <c r="E5" i="9"/>
  <c r="E2" i="9"/>
  <c r="D3" i="9"/>
  <c r="D4" i="9"/>
  <c r="D5" i="9"/>
  <c r="D2" i="9"/>
  <c r="B5" i="16"/>
  <c r="B4" i="16"/>
  <c r="B3" i="16"/>
  <c r="B2" i="16"/>
</calcChain>
</file>

<file path=xl/sharedStrings.xml><?xml version="1.0" encoding="utf-8"?>
<sst xmlns="http://schemas.openxmlformats.org/spreadsheetml/2006/main" count="57" uniqueCount="37">
  <si>
    <t>rows_before_clean</t>
  </si>
  <si>
    <t>rows_after_clean</t>
  </si>
  <si>
    <t>rows_rem</t>
  </si>
  <si>
    <t>duplicate_reduc</t>
  </si>
  <si>
    <t>completeness</t>
  </si>
  <si>
    <t>uniqueness</t>
  </si>
  <si>
    <t>validity</t>
  </si>
  <si>
    <t>row_retention</t>
  </si>
  <si>
    <t>Zoom</t>
  </si>
  <si>
    <t>Teams</t>
  </si>
  <si>
    <t>Meet</t>
  </si>
  <si>
    <t>Webex</t>
  </si>
  <si>
    <t>product</t>
  </si>
  <si>
    <t>total_issues</t>
  </si>
  <si>
    <t>reduced_Issues</t>
  </si>
  <si>
    <t>issues_dif</t>
  </si>
  <si>
    <t>issues_reduction(%)</t>
  </si>
  <si>
    <t>Row Labels</t>
  </si>
  <si>
    <t>Grand Total</t>
  </si>
  <si>
    <t>Values</t>
  </si>
  <si>
    <t>KPIs</t>
  </si>
  <si>
    <t>Completeness</t>
  </si>
  <si>
    <t>Uniqueness</t>
  </si>
  <si>
    <t>Validity</t>
  </si>
  <si>
    <t>Retention</t>
  </si>
  <si>
    <t>Completeness Score</t>
  </si>
  <si>
    <t>Uniqueness Score</t>
  </si>
  <si>
    <t>Validity Score</t>
  </si>
  <si>
    <t>Row Retention Score</t>
  </si>
  <si>
    <t>Total Issues</t>
  </si>
  <si>
    <t>Reduced Issues</t>
  </si>
  <si>
    <t>Remaining Issues</t>
  </si>
  <si>
    <t>Total</t>
  </si>
  <si>
    <t>Product</t>
  </si>
  <si>
    <t>Overall Score</t>
  </si>
  <si>
    <t>Sum of Overall Score</t>
  </si>
  <si>
    <t>DATA QUALITY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</si>
</sst>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71" formatCode="0.000"/>
  </numFmts>
  <fonts count="4" x14ac:knownFonts="1">
    <font>
      <sz val="11"/>
      <color theme="1"/>
      <name val="Calibri"/>
      <family val="2"/>
      <scheme val="minor"/>
    </font>
    <font>
      <b/>
      <sz val="11"/>
      <color theme="0"/>
      <name val="Calibri"/>
      <family val="2"/>
      <scheme val="minor"/>
    </font>
    <font>
      <b/>
      <sz val="11"/>
      <color theme="1"/>
      <name val="Calibri"/>
      <family val="2"/>
      <scheme val="minor"/>
    </font>
    <font>
      <b/>
      <sz val="36"/>
      <color theme="1"/>
      <name val="Arial"/>
      <family val="2"/>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tint="-0.14999847407452621"/>
        <bgColor indexed="64"/>
      </patternFill>
    </fill>
  </fills>
  <borders count="3">
    <border>
      <left/>
      <right/>
      <top/>
      <bottom/>
      <diagonal/>
    </border>
    <border>
      <left/>
      <right/>
      <top style="thin">
        <color theme="4" tint="0.39997558519241921"/>
      </top>
      <bottom/>
      <diagonal/>
    </border>
    <border>
      <left/>
      <right/>
      <top/>
      <bottom style="thin">
        <color theme="4" tint="0.39997558519241921"/>
      </bottom>
      <diagonal/>
    </border>
  </borders>
  <cellStyleXfs count="1">
    <xf numFmtId="0" fontId="0" fillId="0" borderId="0"/>
  </cellStyleXfs>
  <cellXfs count="21">
    <xf numFmtId="0" fontId="0" fillId="0" borderId="0" xfId="0"/>
    <xf numFmtId="10" fontId="0" fillId="0" borderId="0" xfId="0" applyNumberFormat="1"/>
    <xf numFmtId="164" fontId="0" fillId="0" borderId="0" xfId="0" applyNumberFormat="1"/>
    <xf numFmtId="0" fontId="0" fillId="3" borderId="1" xfId="0" applyFill="1" applyBorder="1"/>
    <xf numFmtId="164" fontId="0" fillId="3" borderId="1" xfId="0" applyNumberFormat="1" applyFill="1" applyBorder="1"/>
    <xf numFmtId="0" fontId="0" fillId="0" borderId="1" xfId="0" applyBorder="1"/>
    <xf numFmtId="0" fontId="1" fillId="2" borderId="0" xfId="0" applyFont="1" applyFill="1"/>
    <xf numFmtId="164" fontId="1" fillId="2" borderId="0" xfId="0" applyNumberFormat="1" applyFont="1" applyFill="1"/>
    <xf numFmtId="164" fontId="0" fillId="0" borderId="1" xfId="0" applyNumberFormat="1" applyBorder="1"/>
    <xf numFmtId="0" fontId="0" fillId="0" borderId="0" xfId="0" pivotButton="1"/>
    <xf numFmtId="0" fontId="0" fillId="0" borderId="0" xfId="0" applyAlignment="1">
      <alignment horizontal="left"/>
    </xf>
    <xf numFmtId="0" fontId="2" fillId="0" borderId="0" xfId="0" applyFont="1"/>
    <xf numFmtId="10" fontId="2" fillId="0" borderId="0" xfId="0" applyNumberFormat="1" applyFont="1"/>
    <xf numFmtId="0" fontId="0" fillId="0" borderId="0" xfId="0" applyNumberFormat="1"/>
    <xf numFmtId="1" fontId="0" fillId="0" borderId="0" xfId="0" applyNumberFormat="1"/>
    <xf numFmtId="0" fontId="2" fillId="0" borderId="2" xfId="0" applyFont="1" applyFill="1" applyBorder="1"/>
    <xf numFmtId="0" fontId="0" fillId="0" borderId="0" xfId="0" applyFill="1" applyAlignment="1">
      <alignment horizontal="left"/>
    </xf>
    <xf numFmtId="10" fontId="0" fillId="0" borderId="0" xfId="0" applyNumberFormat="1" applyFill="1"/>
    <xf numFmtId="171" fontId="0" fillId="0" borderId="0" xfId="0" applyNumberFormat="1"/>
    <xf numFmtId="0" fontId="0" fillId="4" borderId="0" xfId="0" applyFill="1"/>
    <xf numFmtId="0" fontId="3" fillId="4" borderId="0" xfId="0" applyFont="1" applyFill="1" applyAlignment="1">
      <alignment horizontal="left" vertical="center"/>
    </xf>
  </cellXfs>
  <cellStyles count="1">
    <cellStyle name="Normal" xfId="0" builtinId="0"/>
  </cellStyles>
  <dxfs count="33">
    <dxf>
      <numFmt numFmtId="14" formatCode="0.00%"/>
    </dxf>
    <dxf>
      <numFmt numFmtId="164" formatCode="0.0%"/>
    </dxf>
    <dxf>
      <numFmt numFmtId="14" formatCode="0.00%"/>
    </dxf>
    <dxf>
      <numFmt numFmtId="14" formatCode="0.00%"/>
    </dxf>
    <dxf>
      <numFmt numFmtId="164" formatCode="0.0%"/>
    </dxf>
    <dxf>
      <numFmt numFmtId="14" formatCode="0.00%"/>
    </dxf>
    <dxf>
      <numFmt numFmtId="14" formatCode="0.00%"/>
    </dxf>
    <dxf>
      <numFmt numFmtId="164" formatCode="0.0%"/>
    </dxf>
    <dxf>
      <numFmt numFmtId="14" formatCode="0.00%"/>
    </dxf>
    <dxf>
      <numFmt numFmtId="14" formatCode="0.00%"/>
    </dxf>
    <dxf>
      <numFmt numFmtId="164" formatCode="0.0%"/>
    </dxf>
    <dxf>
      <numFmt numFmtId="14" formatCode="0.00%"/>
    </dxf>
    <dxf>
      <numFmt numFmtId="14" formatCode="0.00%"/>
    </dxf>
    <dxf>
      <numFmt numFmtId="164" formatCode="0.0%"/>
    </dxf>
    <dxf>
      <numFmt numFmtId="14" formatCode="0.00%"/>
    </dxf>
    <dxf>
      <numFmt numFmtId="14" formatCode="0.00%"/>
    </dxf>
    <dxf>
      <numFmt numFmtId="164" formatCode="0.0%"/>
    </dxf>
    <dxf>
      <numFmt numFmtId="14" formatCode="0.00%"/>
    </dxf>
    <dxf>
      <numFmt numFmtId="14" formatCode="0.00%"/>
    </dxf>
    <dxf>
      <numFmt numFmtId="164" formatCode="0.0%"/>
    </dxf>
    <dxf>
      <numFmt numFmtId="14" formatCode="0.00%"/>
    </dxf>
    <dxf>
      <font>
        <b/>
        <i val="0"/>
        <strike val="0"/>
        <condense val="0"/>
        <extend val="0"/>
        <outline val="0"/>
        <shadow val="0"/>
        <u val="none"/>
        <vertAlign val="baseline"/>
        <sz val="11"/>
        <color theme="1"/>
        <name val="Calibri"/>
        <family val="2"/>
        <scheme val="minor"/>
      </font>
    </dxf>
    <dxf>
      <numFmt numFmtId="171" formatCode="0.000"/>
    </dxf>
    <dxf>
      <numFmt numFmtId="14" formatCode="0.00%"/>
    </dxf>
    <dxf>
      <numFmt numFmtId="164" formatCode="0.0%"/>
    </dxf>
    <dxf>
      <numFmt numFmtId="14" formatCode="0.00%"/>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numFmt numFmtId="164" formatCode="0.0%"/>
    </dxf>
    <dxf>
      <numFmt numFmtId="164" formatCode="0.0%"/>
    </dxf>
    <dxf>
      <numFmt numFmtId="164" formatCode="0.0%"/>
    </dxf>
    <dxf>
      <numFmt numFmtId="14" formatCode="0.00%"/>
    </dxf>
    <dxf>
      <numFmt numFmtId="164" formatCod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3.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[data_qa_dashboard.xlsx]PT_Data_Quality_Score!PivotTable1</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Quality Metric Scores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PT_Data_Quality_Score!$B$1</c:f>
              <c:strCache>
                <c:ptCount val="1"/>
                <c:pt idx="0">
                  <c:v>Completeness Score</c:v>
                </c:pt>
              </c:strCache>
            </c:strRef>
          </c:tx>
          <c:spPr>
            <a:solidFill>
              <a:schemeClr val="accent1"/>
            </a:solidFill>
            <a:ln>
              <a:noFill/>
            </a:ln>
            <a:effectLst/>
          </c:spPr>
          <c:invertIfNegative val="0"/>
          <c:cat>
            <c:strRef>
              <c:f>PT_Data_Quality_Score!$A$2:$A$6</c:f>
              <c:strCache>
                <c:ptCount val="4"/>
                <c:pt idx="0">
                  <c:v>Meet</c:v>
                </c:pt>
                <c:pt idx="1">
                  <c:v>Teams</c:v>
                </c:pt>
                <c:pt idx="2">
                  <c:v>Webex</c:v>
                </c:pt>
                <c:pt idx="3">
                  <c:v>Zoom</c:v>
                </c:pt>
              </c:strCache>
            </c:strRef>
          </c:cat>
          <c:val>
            <c:numRef>
              <c:f>PT_Data_Quality_Score!$B$2:$B$6</c:f>
              <c:numCache>
                <c:formatCode>0.00%</c:formatCode>
                <c:ptCount val="4"/>
                <c:pt idx="0">
                  <c:v>0.98599999999999999</c:v>
                </c:pt>
                <c:pt idx="1">
                  <c:v>0.96739456576095995</c:v>
                </c:pt>
                <c:pt idx="2">
                  <c:v>0.97130000000000005</c:v>
                </c:pt>
                <c:pt idx="3">
                  <c:v>0.92879999999999996</c:v>
                </c:pt>
              </c:numCache>
            </c:numRef>
          </c:val>
          <c:extLst>
            <c:ext xmlns:c16="http://schemas.microsoft.com/office/drawing/2014/chart" uri="{C3380CC4-5D6E-409C-BE32-E72D297353CC}">
              <c16:uniqueId val="{00000000-C82B-45B8-9034-73F4BCBADB00}"/>
            </c:ext>
          </c:extLst>
        </c:ser>
        <c:ser>
          <c:idx val="1"/>
          <c:order val="1"/>
          <c:tx>
            <c:strRef>
              <c:f>PT_Data_Quality_Score!$C$1</c:f>
              <c:strCache>
                <c:ptCount val="1"/>
                <c:pt idx="0">
                  <c:v>Uniqueness Score</c:v>
                </c:pt>
              </c:strCache>
            </c:strRef>
          </c:tx>
          <c:spPr>
            <a:solidFill>
              <a:schemeClr val="accent2"/>
            </a:solidFill>
            <a:ln>
              <a:noFill/>
            </a:ln>
            <a:effectLst/>
          </c:spPr>
          <c:invertIfNegative val="0"/>
          <c:cat>
            <c:strRef>
              <c:f>PT_Data_Quality_Score!$A$2:$A$6</c:f>
              <c:strCache>
                <c:ptCount val="4"/>
                <c:pt idx="0">
                  <c:v>Meet</c:v>
                </c:pt>
                <c:pt idx="1">
                  <c:v>Teams</c:v>
                </c:pt>
                <c:pt idx="2">
                  <c:v>Webex</c:v>
                </c:pt>
                <c:pt idx="3">
                  <c:v>Zoom</c:v>
                </c:pt>
              </c:strCache>
            </c:strRef>
          </c:cat>
          <c:val>
            <c:numRef>
              <c:f>PT_Data_Quality_Score!$C$2:$C$6</c:f>
              <c:numCache>
                <c:formatCode>0.00%</c:formatCode>
                <c:ptCount val="4"/>
                <c:pt idx="0">
                  <c:v>1</c:v>
                </c:pt>
                <c:pt idx="1">
                  <c:v>1</c:v>
                </c:pt>
                <c:pt idx="2">
                  <c:v>1</c:v>
                </c:pt>
                <c:pt idx="3">
                  <c:v>1</c:v>
                </c:pt>
              </c:numCache>
            </c:numRef>
          </c:val>
          <c:extLst>
            <c:ext xmlns:c16="http://schemas.microsoft.com/office/drawing/2014/chart" uri="{C3380CC4-5D6E-409C-BE32-E72D297353CC}">
              <c16:uniqueId val="{00000001-C82B-45B8-9034-73F4BCBADB00}"/>
            </c:ext>
          </c:extLst>
        </c:ser>
        <c:ser>
          <c:idx val="2"/>
          <c:order val="2"/>
          <c:tx>
            <c:strRef>
              <c:f>PT_Data_Quality_Score!$D$1</c:f>
              <c:strCache>
                <c:ptCount val="1"/>
                <c:pt idx="0">
                  <c:v>Validity Score</c:v>
                </c:pt>
              </c:strCache>
            </c:strRef>
          </c:tx>
          <c:spPr>
            <a:solidFill>
              <a:schemeClr val="accent3"/>
            </a:solidFill>
            <a:ln>
              <a:noFill/>
            </a:ln>
            <a:effectLst/>
          </c:spPr>
          <c:invertIfNegative val="0"/>
          <c:cat>
            <c:strRef>
              <c:f>PT_Data_Quality_Score!$A$2:$A$6</c:f>
              <c:strCache>
                <c:ptCount val="4"/>
                <c:pt idx="0">
                  <c:v>Meet</c:v>
                </c:pt>
                <c:pt idx="1">
                  <c:v>Teams</c:v>
                </c:pt>
                <c:pt idx="2">
                  <c:v>Webex</c:v>
                </c:pt>
                <c:pt idx="3">
                  <c:v>Zoom</c:v>
                </c:pt>
              </c:strCache>
            </c:strRef>
          </c:cat>
          <c:val>
            <c:numRef>
              <c:f>PT_Data_Quality_Score!$D$2:$D$6</c:f>
              <c:numCache>
                <c:formatCode>0.00%</c:formatCode>
                <c:ptCount val="4"/>
                <c:pt idx="0">
                  <c:v>1</c:v>
                </c:pt>
                <c:pt idx="1">
                  <c:v>1</c:v>
                </c:pt>
                <c:pt idx="2">
                  <c:v>1</c:v>
                </c:pt>
                <c:pt idx="3">
                  <c:v>1</c:v>
                </c:pt>
              </c:numCache>
            </c:numRef>
          </c:val>
          <c:extLst>
            <c:ext xmlns:c16="http://schemas.microsoft.com/office/drawing/2014/chart" uri="{C3380CC4-5D6E-409C-BE32-E72D297353CC}">
              <c16:uniqueId val="{00000002-C82B-45B8-9034-73F4BCBADB00}"/>
            </c:ext>
          </c:extLst>
        </c:ser>
        <c:ser>
          <c:idx val="3"/>
          <c:order val="3"/>
          <c:tx>
            <c:strRef>
              <c:f>PT_Data_Quality_Score!$E$1</c:f>
              <c:strCache>
                <c:ptCount val="1"/>
                <c:pt idx="0">
                  <c:v>Row Retention Score</c:v>
                </c:pt>
              </c:strCache>
            </c:strRef>
          </c:tx>
          <c:spPr>
            <a:solidFill>
              <a:schemeClr val="accent4"/>
            </a:solidFill>
            <a:ln>
              <a:noFill/>
            </a:ln>
            <a:effectLst/>
          </c:spPr>
          <c:invertIfNegative val="0"/>
          <c:cat>
            <c:strRef>
              <c:f>PT_Data_Quality_Score!$A$2:$A$6</c:f>
              <c:strCache>
                <c:ptCount val="4"/>
                <c:pt idx="0">
                  <c:v>Meet</c:v>
                </c:pt>
                <c:pt idx="1">
                  <c:v>Teams</c:v>
                </c:pt>
                <c:pt idx="2">
                  <c:v>Webex</c:v>
                </c:pt>
                <c:pt idx="3">
                  <c:v>Zoom</c:v>
                </c:pt>
              </c:strCache>
            </c:strRef>
          </c:cat>
          <c:val>
            <c:numRef>
              <c:f>PT_Data_Quality_Score!$E$2:$E$6</c:f>
              <c:numCache>
                <c:formatCode>0.00%</c:formatCode>
                <c:ptCount val="4"/>
                <c:pt idx="0">
                  <c:v>1</c:v>
                </c:pt>
                <c:pt idx="1">
                  <c:v>0.99983333333333302</c:v>
                </c:pt>
                <c:pt idx="2">
                  <c:v>1</c:v>
                </c:pt>
                <c:pt idx="3">
                  <c:v>1</c:v>
                </c:pt>
              </c:numCache>
            </c:numRef>
          </c:val>
          <c:extLst>
            <c:ext xmlns:c16="http://schemas.microsoft.com/office/drawing/2014/chart" uri="{C3380CC4-5D6E-409C-BE32-E72D297353CC}">
              <c16:uniqueId val="{00000003-C82B-45B8-9034-73F4BCBADB00}"/>
            </c:ext>
          </c:extLst>
        </c:ser>
        <c:dLbls>
          <c:showLegendKey val="0"/>
          <c:showVal val="0"/>
          <c:showCatName val="0"/>
          <c:showSerName val="0"/>
          <c:showPercent val="0"/>
          <c:showBubbleSize val="0"/>
        </c:dLbls>
        <c:gapWidth val="219"/>
        <c:overlap val="-27"/>
        <c:axId val="1106035311"/>
        <c:axId val="1106038191"/>
      </c:barChart>
      <c:catAx>
        <c:axId val="1106035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106038191"/>
        <c:crosses val="autoZero"/>
        <c:auto val="1"/>
        <c:lblAlgn val="ctr"/>
        <c:lblOffset val="100"/>
        <c:noMultiLvlLbl val="0"/>
      </c:catAx>
      <c:valAx>
        <c:axId val="1106038191"/>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1060353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[data_qa_dashboard.xlsx]Overall Scoring!PivotTable2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Overall Score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'Overall Scoring'!$E$2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'Overall Scoring'!$D$3:$D$7</c:f>
              <c:strCache>
                <c:ptCount val="4"/>
                <c:pt idx="0">
                  <c:v>Meet</c:v>
                </c:pt>
                <c:pt idx="1">
                  <c:v>Teams</c:v>
                </c:pt>
                <c:pt idx="2">
                  <c:v>Webex</c:v>
                </c:pt>
                <c:pt idx="3">
                  <c:v>Zoom</c:v>
                </c:pt>
              </c:strCache>
            </c:strRef>
          </c:cat>
          <c:val>
            <c:numRef>
              <c:f>'Overall Scoring'!$E$3:$E$7</c:f>
              <c:numCache>
                <c:formatCode>0.000</c:formatCode>
                <c:ptCount val="4"/>
                <c:pt idx="0">
                  <c:v>3.9859999999999998</c:v>
                </c:pt>
                <c:pt idx="1">
                  <c:v>3.9672278990942931</c:v>
                </c:pt>
                <c:pt idx="2">
                  <c:v>3.9713000000000003</c:v>
                </c:pt>
                <c:pt idx="3">
                  <c:v>3.9287999999999998</c:v>
                </c:pt>
              </c:numCache>
            </c:numRef>
          </c:val>
          <c:extLst>
            <c:ext xmlns:c16="http://schemas.microsoft.com/office/drawing/2014/chart" uri="{C3380CC4-5D6E-409C-BE32-E72D297353CC}">
              <c16:uniqueId val="{00000000-EE5A-4A67-BAC1-67C575AEB9DD}"/>
            </c:ext>
          </c:extLst>
        </c:ser>
        <c:dLbls>
          <c:dLblPos val="outEnd"/>
          <c:showLegendKey val="0"/>
          <c:showVal val="1"/>
          <c:showCatName val="0"/>
          <c:showSerName val="0"/>
          <c:showPercent val="0"/>
          <c:showBubbleSize val="0"/>
        </c:dLbls>
        <c:gapWidth val="182"/>
        <c:axId val="1126133599"/>
        <c:axId val="1126123039"/>
      </c:barChart>
      <c:catAx>
        <c:axId val="11261335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126123039"/>
        <c:crosses val="autoZero"/>
        <c:auto val="1"/>
        <c:lblAlgn val="ctr"/>
        <c:lblOffset val="100"/>
        <c:noMultiLvlLbl val="0"/>
      </c:catAx>
      <c:valAx>
        <c:axId val="1126123039"/>
        <c:scaling>
          <c:orientation val="minMax"/>
        </c:scaling>
        <c:delete val="0"/>
        <c:axPos val="b"/>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126133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[data_qa_dashboard.xlsx]PT_Issues!PivotTable2</c:name>
    <c:fmtId val="5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Issues Resolved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PT_Issues!$B$1</c:f>
              <c:strCache>
                <c:ptCount val="1"/>
                <c:pt idx="0">
                  <c:v>Total Issues</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PT_Issues!$A$2:$A$6</c:f>
              <c:strCache>
                <c:ptCount val="4"/>
                <c:pt idx="0">
                  <c:v>Meet</c:v>
                </c:pt>
                <c:pt idx="1">
                  <c:v>Teams</c:v>
                </c:pt>
                <c:pt idx="2">
                  <c:v>Webex</c:v>
                </c:pt>
                <c:pt idx="3">
                  <c:v>Zoom</c:v>
                </c:pt>
              </c:strCache>
            </c:strRef>
          </c:cat>
          <c:val>
            <c:numRef>
              <c:f>PT_Issues!$B$2:$B$6</c:f>
              <c:numCache>
                <c:formatCode>General</c:formatCode>
                <c:ptCount val="4"/>
                <c:pt idx="0">
                  <c:v>4</c:v>
                </c:pt>
                <c:pt idx="1">
                  <c:v>4</c:v>
                </c:pt>
                <c:pt idx="2">
                  <c:v>4</c:v>
                </c:pt>
                <c:pt idx="3">
                  <c:v>4</c:v>
                </c:pt>
              </c:numCache>
            </c:numRef>
          </c:val>
          <c:extLst>
            <c:ext xmlns:c16="http://schemas.microsoft.com/office/drawing/2014/chart" uri="{C3380CC4-5D6E-409C-BE32-E72D297353CC}">
              <c16:uniqueId val="{00000000-BCE6-4CEC-9F77-1654F338B647}"/>
            </c:ext>
          </c:extLst>
        </c:ser>
        <c:ser>
          <c:idx val="1"/>
          <c:order val="1"/>
          <c:tx>
            <c:strRef>
              <c:f>PT_Issues!$C$1</c:f>
              <c:strCache>
                <c:ptCount val="1"/>
                <c:pt idx="0">
                  <c:v>Reduced Issues</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PT_Issues!$A$2:$A$6</c:f>
              <c:strCache>
                <c:ptCount val="4"/>
                <c:pt idx="0">
                  <c:v>Meet</c:v>
                </c:pt>
                <c:pt idx="1">
                  <c:v>Teams</c:v>
                </c:pt>
                <c:pt idx="2">
                  <c:v>Webex</c:v>
                </c:pt>
                <c:pt idx="3">
                  <c:v>Zoom</c:v>
                </c:pt>
              </c:strCache>
            </c:strRef>
          </c:cat>
          <c:val>
            <c:numRef>
              <c:f>PT_Issues!$C$2:$C$6</c:f>
              <c:numCache>
                <c:formatCode>General</c:formatCode>
                <c:ptCount val="4"/>
                <c:pt idx="0">
                  <c:v>3</c:v>
                </c:pt>
                <c:pt idx="1">
                  <c:v>3</c:v>
                </c:pt>
                <c:pt idx="2">
                  <c:v>3</c:v>
                </c:pt>
                <c:pt idx="3">
                  <c:v>3</c:v>
                </c:pt>
              </c:numCache>
            </c:numRef>
          </c:val>
          <c:extLst>
            <c:ext xmlns:c16="http://schemas.microsoft.com/office/drawing/2014/chart" uri="{C3380CC4-5D6E-409C-BE32-E72D297353CC}">
              <c16:uniqueId val="{00000001-BCE6-4CEC-9F77-1654F338B647}"/>
            </c:ext>
          </c:extLst>
        </c:ser>
        <c:ser>
          <c:idx val="2"/>
          <c:order val="2"/>
          <c:tx>
            <c:strRef>
              <c:f>PT_Issues!$D$1</c:f>
              <c:strCache>
                <c:ptCount val="1"/>
                <c:pt idx="0">
                  <c:v>Remaining Issues</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PT_Issues!$A$2:$A$6</c:f>
              <c:strCache>
                <c:ptCount val="4"/>
                <c:pt idx="0">
                  <c:v>Meet</c:v>
                </c:pt>
                <c:pt idx="1">
                  <c:v>Teams</c:v>
                </c:pt>
                <c:pt idx="2">
                  <c:v>Webex</c:v>
                </c:pt>
                <c:pt idx="3">
                  <c:v>Zoom</c:v>
                </c:pt>
              </c:strCache>
            </c:strRef>
          </c:cat>
          <c:val>
            <c:numRef>
              <c:f>PT_Issues!$D$2:$D$6</c:f>
              <c:numCache>
                <c:formatCode>General</c:formatCode>
                <c:ptCount val="4"/>
                <c:pt idx="0">
                  <c:v>1</c:v>
                </c:pt>
                <c:pt idx="1">
                  <c:v>1</c:v>
                </c:pt>
                <c:pt idx="2">
                  <c:v>1</c:v>
                </c:pt>
                <c:pt idx="3">
                  <c:v>1</c:v>
                </c:pt>
              </c:numCache>
            </c:numRef>
          </c:val>
          <c:extLst>
            <c:ext xmlns:c16="http://schemas.microsoft.com/office/drawing/2014/chart" uri="{C3380CC4-5D6E-409C-BE32-E72D297353CC}">
              <c16:uniqueId val="{00000002-BCE6-4CEC-9F77-1654F338B647}"/>
            </c:ext>
          </c:extLst>
        </c:ser>
        <c:dLbls>
          <c:dLblPos val="outEnd"/>
          <c:showLegendKey val="0"/>
          <c:showVal val="1"/>
          <c:showCatName val="0"/>
          <c:showSerName val="0"/>
          <c:showPercent val="0"/>
          <c:showBubbleSize val="0"/>
        </c:dLbls>
        <c:gapWidth val="182"/>
        <c:axId val="1126132639"/>
        <c:axId val="1126118719"/>
      </c:barChart>
      <c:catAx>
        <c:axId val="112613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126118719"/>
        <c:crosses val="autoZero"/>
        <c:auto val="1"/>
        <c:lblAlgn val="ctr"/>
        <c:lblOffset val="100"/>
        <c:noMultiLvlLbl val="0"/>
      </c:catAx>
      <c:valAx>
        <c:axId val="1126118719"/>
        <c:scaling>
          <c:orientation val="minMax"/>
        </c:scaling>
        <c:delete val="1"/>
        <c:axPos val="b"/>
        <c:numFmt formatCode="General" sourceLinked="1"/>
        <c:majorTickMark val="none"/>
        <c:minorTickMark val="none"/>
        <c:tickLblPos val="nextTo"/>
        <c:crossAx val="1126132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[data_qa_dashboard.xlsx]PT_Data_Quality_Score!PivotTable1</c:name>
    <c:fmtId val="19"/>
  </c:pivotSource>
  <c:chart>
    <c:title>
      <c:tx>
        <c:rich>
          <a:bodyPr rot="0" spcFirstLastPara="1" vertOverflow="ellipsis" vert="horz" wrap="square" anchor="ctr" anchorCtr="1"/>
          <a:lstStyle/>
          <a:p>
            <a:pPr>
              <a:defRPr sz="1400" b="0" i="0" u="none" strike="noStrike" kern="1200" spc="0" baseline="0">
                <a:solidFill>
                  <a:schemeClr val="tx1"/>
                </a:solidFill>
                <a:latin typeface="Arial" panose="020B0604020202020204" pitchFamily="34" charset="0"/>
                <a:ea typeface="+mn-ea"/>
                <a:cs typeface="Arial" panose="020B0604020202020204" pitchFamily="34" charset="0"/>
              </a:defRPr>
            </a:pPr>
            <a:r>
              <a:rPr lang="en-US"/>
              <a:t>Quality Metric Scores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PT_Data_Quality_Score!$B$1</c:f>
              <c:strCache>
                <c:ptCount val="1"/>
                <c:pt idx="0">
                  <c:v>Completeness Score</c:v>
                </c:pt>
              </c:strCache>
            </c:strRef>
          </c:tx>
          <c:spPr>
            <a:solidFill>
              <a:schemeClr val="accent1"/>
            </a:solidFill>
            <a:ln>
              <a:noFill/>
            </a:ln>
            <a:effectLst/>
          </c:spPr>
          <c:invertIfNegative val="0"/>
          <c:cat>
            <c:strRef>
              <c:f>PT_Data_Quality_Score!$A$2:$A$6</c:f>
              <c:strCache>
                <c:ptCount val="4"/>
                <c:pt idx="0">
                  <c:v>Meet</c:v>
                </c:pt>
                <c:pt idx="1">
                  <c:v>Teams</c:v>
                </c:pt>
                <c:pt idx="2">
                  <c:v>Webex</c:v>
                </c:pt>
                <c:pt idx="3">
                  <c:v>Zoom</c:v>
                </c:pt>
              </c:strCache>
            </c:strRef>
          </c:cat>
          <c:val>
            <c:numRef>
              <c:f>PT_Data_Quality_Score!$B$2:$B$6</c:f>
              <c:numCache>
                <c:formatCode>0.00%</c:formatCode>
                <c:ptCount val="4"/>
                <c:pt idx="0">
                  <c:v>0.98599999999999999</c:v>
                </c:pt>
                <c:pt idx="1">
                  <c:v>0.96739456576095995</c:v>
                </c:pt>
                <c:pt idx="2">
                  <c:v>0.97130000000000005</c:v>
                </c:pt>
                <c:pt idx="3">
                  <c:v>0.92879999999999996</c:v>
                </c:pt>
              </c:numCache>
            </c:numRef>
          </c:val>
          <c:extLst>
            <c:ext xmlns:c16="http://schemas.microsoft.com/office/drawing/2014/chart" uri="{C3380CC4-5D6E-409C-BE32-E72D297353CC}">
              <c16:uniqueId val="{00000000-F2BD-431D-85B6-30C56977EA0E}"/>
            </c:ext>
          </c:extLst>
        </c:ser>
        <c:ser>
          <c:idx val="1"/>
          <c:order val="1"/>
          <c:tx>
            <c:strRef>
              <c:f>PT_Data_Quality_Score!$C$1</c:f>
              <c:strCache>
                <c:ptCount val="1"/>
                <c:pt idx="0">
                  <c:v>Uniqueness Score</c:v>
                </c:pt>
              </c:strCache>
            </c:strRef>
          </c:tx>
          <c:spPr>
            <a:solidFill>
              <a:schemeClr val="accent2"/>
            </a:solidFill>
            <a:ln>
              <a:noFill/>
            </a:ln>
            <a:effectLst/>
          </c:spPr>
          <c:invertIfNegative val="0"/>
          <c:cat>
            <c:strRef>
              <c:f>PT_Data_Quality_Score!$A$2:$A$6</c:f>
              <c:strCache>
                <c:ptCount val="4"/>
                <c:pt idx="0">
                  <c:v>Meet</c:v>
                </c:pt>
                <c:pt idx="1">
                  <c:v>Teams</c:v>
                </c:pt>
                <c:pt idx="2">
                  <c:v>Webex</c:v>
                </c:pt>
                <c:pt idx="3">
                  <c:v>Zoom</c:v>
                </c:pt>
              </c:strCache>
            </c:strRef>
          </c:cat>
          <c:val>
            <c:numRef>
              <c:f>PT_Data_Quality_Score!$C$2:$C$6</c:f>
              <c:numCache>
                <c:formatCode>0.00%</c:formatCode>
                <c:ptCount val="4"/>
                <c:pt idx="0">
                  <c:v>1</c:v>
                </c:pt>
                <c:pt idx="1">
                  <c:v>1</c:v>
                </c:pt>
                <c:pt idx="2">
                  <c:v>1</c:v>
                </c:pt>
                <c:pt idx="3">
                  <c:v>1</c:v>
                </c:pt>
              </c:numCache>
            </c:numRef>
          </c:val>
          <c:extLst>
            <c:ext xmlns:c16="http://schemas.microsoft.com/office/drawing/2014/chart" uri="{C3380CC4-5D6E-409C-BE32-E72D297353CC}">
              <c16:uniqueId val="{00000001-F2BD-431D-85B6-30C56977EA0E}"/>
            </c:ext>
          </c:extLst>
        </c:ser>
        <c:ser>
          <c:idx val="2"/>
          <c:order val="2"/>
          <c:tx>
            <c:strRef>
              <c:f>PT_Data_Quality_Score!$D$1</c:f>
              <c:strCache>
                <c:ptCount val="1"/>
                <c:pt idx="0">
                  <c:v>Validity Score</c:v>
                </c:pt>
              </c:strCache>
            </c:strRef>
          </c:tx>
          <c:spPr>
            <a:solidFill>
              <a:schemeClr val="accent3"/>
            </a:solidFill>
            <a:ln>
              <a:noFill/>
            </a:ln>
            <a:effectLst/>
          </c:spPr>
          <c:invertIfNegative val="0"/>
          <c:cat>
            <c:strRef>
              <c:f>PT_Data_Quality_Score!$A$2:$A$6</c:f>
              <c:strCache>
                <c:ptCount val="4"/>
                <c:pt idx="0">
                  <c:v>Meet</c:v>
                </c:pt>
                <c:pt idx="1">
                  <c:v>Teams</c:v>
                </c:pt>
                <c:pt idx="2">
                  <c:v>Webex</c:v>
                </c:pt>
                <c:pt idx="3">
                  <c:v>Zoom</c:v>
                </c:pt>
              </c:strCache>
            </c:strRef>
          </c:cat>
          <c:val>
            <c:numRef>
              <c:f>PT_Data_Quality_Score!$D$2:$D$6</c:f>
              <c:numCache>
                <c:formatCode>0.00%</c:formatCode>
                <c:ptCount val="4"/>
                <c:pt idx="0">
                  <c:v>1</c:v>
                </c:pt>
                <c:pt idx="1">
                  <c:v>1</c:v>
                </c:pt>
                <c:pt idx="2">
                  <c:v>1</c:v>
                </c:pt>
                <c:pt idx="3">
                  <c:v>1</c:v>
                </c:pt>
              </c:numCache>
            </c:numRef>
          </c:val>
          <c:extLst>
            <c:ext xmlns:c16="http://schemas.microsoft.com/office/drawing/2014/chart" uri="{C3380CC4-5D6E-409C-BE32-E72D297353CC}">
              <c16:uniqueId val="{00000002-F2BD-431D-85B6-30C56977EA0E}"/>
            </c:ext>
          </c:extLst>
        </c:ser>
        <c:ser>
          <c:idx val="3"/>
          <c:order val="3"/>
          <c:tx>
            <c:strRef>
              <c:f>PT_Data_Quality_Score!$E$1</c:f>
              <c:strCache>
                <c:ptCount val="1"/>
                <c:pt idx="0">
                  <c:v>Row Retention Score</c:v>
                </c:pt>
              </c:strCache>
            </c:strRef>
          </c:tx>
          <c:spPr>
            <a:solidFill>
              <a:schemeClr val="accent4"/>
            </a:solidFill>
            <a:ln>
              <a:noFill/>
            </a:ln>
            <a:effectLst/>
          </c:spPr>
          <c:invertIfNegative val="0"/>
          <c:cat>
            <c:strRef>
              <c:f>PT_Data_Quality_Score!$A$2:$A$6</c:f>
              <c:strCache>
                <c:ptCount val="4"/>
                <c:pt idx="0">
                  <c:v>Meet</c:v>
                </c:pt>
                <c:pt idx="1">
                  <c:v>Teams</c:v>
                </c:pt>
                <c:pt idx="2">
                  <c:v>Webex</c:v>
                </c:pt>
                <c:pt idx="3">
                  <c:v>Zoom</c:v>
                </c:pt>
              </c:strCache>
            </c:strRef>
          </c:cat>
          <c:val>
            <c:numRef>
              <c:f>PT_Data_Quality_Score!$E$2:$E$6</c:f>
              <c:numCache>
                <c:formatCode>0.00%</c:formatCode>
                <c:ptCount val="4"/>
                <c:pt idx="0">
                  <c:v>1</c:v>
                </c:pt>
                <c:pt idx="1">
                  <c:v>0.99983333333333302</c:v>
                </c:pt>
                <c:pt idx="2">
                  <c:v>1</c:v>
                </c:pt>
                <c:pt idx="3">
                  <c:v>1</c:v>
                </c:pt>
              </c:numCache>
            </c:numRef>
          </c:val>
          <c:extLst>
            <c:ext xmlns:c16="http://schemas.microsoft.com/office/drawing/2014/chart" uri="{C3380CC4-5D6E-409C-BE32-E72D297353CC}">
              <c16:uniqueId val="{00000003-F2BD-431D-85B6-30C56977EA0E}"/>
            </c:ext>
          </c:extLst>
        </c:ser>
        <c:dLbls>
          <c:showLegendKey val="0"/>
          <c:showVal val="0"/>
          <c:showCatName val="0"/>
          <c:showSerName val="0"/>
          <c:showPercent val="0"/>
          <c:showBubbleSize val="0"/>
        </c:dLbls>
        <c:gapWidth val="219"/>
        <c:overlap val="-27"/>
        <c:axId val="1106035311"/>
        <c:axId val="1106038191"/>
      </c:barChart>
      <c:catAx>
        <c:axId val="1106035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1106038191"/>
        <c:crosses val="autoZero"/>
        <c:auto val="1"/>
        <c:lblAlgn val="ctr"/>
        <c:lblOffset val="100"/>
        <c:noMultiLvlLbl val="0"/>
      </c:catAx>
      <c:valAx>
        <c:axId val="1106038191"/>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11060353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[data_qa_dashboard.xlsx]Overall Scoring!PivotTable2</c:name>
    <c:fmtId val="6"/>
  </c:pivotSource>
  <c:chart>
    <c:title>
      <c:tx>
        <c:rich>
          <a:bodyPr rot="0" spcFirstLastPara="1" vertOverflow="ellipsis" vert="horz" wrap="square" anchor="ctr" anchorCtr="1"/>
          <a:lstStyle/>
          <a:p>
            <a:pPr>
              <a:defRPr sz="1400" b="0" i="0" u="none" strike="noStrike" kern="1200" spc="0" baseline="0">
                <a:solidFill>
                  <a:schemeClr val="tx1"/>
                </a:solidFill>
                <a:latin typeface="Arial" panose="020B0604020202020204" pitchFamily="34" charset="0"/>
                <a:ea typeface="+mn-ea"/>
                <a:cs typeface="Arial" panose="020B0604020202020204" pitchFamily="34" charset="0"/>
              </a:defRPr>
            </a:pPr>
            <a:r>
              <a:rPr lang="en-US"/>
              <a:t>Overall Score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'Overall Scoring'!$E$2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'Overall Scoring'!$D$3:$D$7</c:f>
              <c:strCache>
                <c:ptCount val="4"/>
                <c:pt idx="0">
                  <c:v>Meet</c:v>
                </c:pt>
                <c:pt idx="1">
                  <c:v>Teams</c:v>
                </c:pt>
                <c:pt idx="2">
                  <c:v>Webex</c:v>
                </c:pt>
                <c:pt idx="3">
                  <c:v>Zoom</c:v>
                </c:pt>
              </c:strCache>
            </c:strRef>
          </c:cat>
          <c:val>
            <c:numRef>
              <c:f>'Overall Scoring'!$E$3:$E$7</c:f>
              <c:numCache>
                <c:formatCode>0.000</c:formatCode>
                <c:ptCount val="4"/>
                <c:pt idx="0">
                  <c:v>3.9859999999999998</c:v>
                </c:pt>
                <c:pt idx="1">
                  <c:v>3.9672278990942931</c:v>
                </c:pt>
                <c:pt idx="2">
                  <c:v>3.9713000000000003</c:v>
                </c:pt>
                <c:pt idx="3">
                  <c:v>3.9287999999999998</c:v>
                </c:pt>
              </c:numCache>
            </c:numRef>
          </c:val>
          <c:extLst>
            <c:ext xmlns:c16="http://schemas.microsoft.com/office/drawing/2014/chart" uri="{C3380CC4-5D6E-409C-BE32-E72D297353CC}">
              <c16:uniqueId val="{00000000-840C-4A78-8716-16DA16BAEC92}"/>
            </c:ext>
          </c:extLst>
        </c:ser>
        <c:dLbls>
          <c:dLblPos val="outEnd"/>
          <c:showLegendKey val="0"/>
          <c:showVal val="1"/>
          <c:showCatName val="0"/>
          <c:showSerName val="0"/>
          <c:showPercent val="0"/>
          <c:showBubbleSize val="0"/>
        </c:dLbls>
        <c:gapWidth val="182"/>
        <c:axId val="1126133599"/>
        <c:axId val="1126123039"/>
      </c:barChart>
      <c:catAx>
        <c:axId val="11261335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1126123039"/>
        <c:crosses val="autoZero"/>
        <c:auto val="1"/>
        <c:lblAlgn val="ctr"/>
        <c:lblOffset val="100"/>
        <c:noMultiLvlLbl val="0"/>
      </c:catAx>
      <c:valAx>
        <c:axId val="1126123039"/>
        <c:scaling>
          <c:orientation val="minMax"/>
        </c:scaling>
        <c:delete val="0"/>
        <c:axPos val="b"/>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1126133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[data_qa_dashboard.xlsx]PT_Issues!PivotTable2</c:name>
    <c:fmtId val="55"/>
  </c:pivotSource>
  <c:chart>
    <c:title>
      <c:tx>
        <c:rich>
          <a:bodyPr rot="0" spcFirstLastPara="1" vertOverflow="ellipsis" vert="horz" wrap="square" anchor="ctr" anchorCtr="1"/>
          <a:lstStyle/>
          <a:p>
            <a:pPr>
              <a:defRPr sz="1400" b="0" i="0" u="none" strike="noStrike" kern="1200" spc="0" baseline="0">
                <a:solidFill>
                  <a:schemeClr val="tx1"/>
                </a:solidFill>
                <a:latin typeface="Arial" panose="020B0604020202020204" pitchFamily="34" charset="0"/>
                <a:ea typeface="+mn-ea"/>
                <a:cs typeface="Arial" panose="020B0604020202020204" pitchFamily="34" charset="0"/>
              </a:defRPr>
            </a:pPr>
            <a:r>
              <a:rPr lang="en-US"/>
              <a:t>Issues Resolved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PT_Issues!$B$1</c:f>
              <c:strCache>
                <c:ptCount val="1"/>
                <c:pt idx="0">
                  <c:v>Total Issues</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PT_Issues!$A$2:$A$6</c:f>
              <c:strCache>
                <c:ptCount val="4"/>
                <c:pt idx="0">
                  <c:v>Meet</c:v>
                </c:pt>
                <c:pt idx="1">
                  <c:v>Teams</c:v>
                </c:pt>
                <c:pt idx="2">
                  <c:v>Webex</c:v>
                </c:pt>
                <c:pt idx="3">
                  <c:v>Zoom</c:v>
                </c:pt>
              </c:strCache>
            </c:strRef>
          </c:cat>
          <c:val>
            <c:numRef>
              <c:f>PT_Issues!$B$2:$B$6</c:f>
              <c:numCache>
                <c:formatCode>General</c:formatCode>
                <c:ptCount val="4"/>
                <c:pt idx="0">
                  <c:v>4</c:v>
                </c:pt>
                <c:pt idx="1">
                  <c:v>4</c:v>
                </c:pt>
                <c:pt idx="2">
                  <c:v>4</c:v>
                </c:pt>
                <c:pt idx="3">
                  <c:v>4</c:v>
                </c:pt>
              </c:numCache>
            </c:numRef>
          </c:val>
          <c:extLst>
            <c:ext xmlns:c16="http://schemas.microsoft.com/office/drawing/2014/chart" uri="{C3380CC4-5D6E-409C-BE32-E72D297353CC}">
              <c16:uniqueId val="{00000000-0817-459D-BCDD-9C8E03A15AA0}"/>
            </c:ext>
          </c:extLst>
        </c:ser>
        <c:ser>
          <c:idx val="1"/>
          <c:order val="1"/>
          <c:tx>
            <c:strRef>
              <c:f>PT_Issues!$C$1</c:f>
              <c:strCache>
                <c:ptCount val="1"/>
                <c:pt idx="0">
                  <c:v>Reduced Issues</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PT_Issues!$A$2:$A$6</c:f>
              <c:strCache>
                <c:ptCount val="4"/>
                <c:pt idx="0">
                  <c:v>Meet</c:v>
                </c:pt>
                <c:pt idx="1">
                  <c:v>Teams</c:v>
                </c:pt>
                <c:pt idx="2">
                  <c:v>Webex</c:v>
                </c:pt>
                <c:pt idx="3">
                  <c:v>Zoom</c:v>
                </c:pt>
              </c:strCache>
            </c:strRef>
          </c:cat>
          <c:val>
            <c:numRef>
              <c:f>PT_Issues!$C$2:$C$6</c:f>
              <c:numCache>
                <c:formatCode>General</c:formatCode>
                <c:ptCount val="4"/>
                <c:pt idx="0">
                  <c:v>3</c:v>
                </c:pt>
                <c:pt idx="1">
                  <c:v>3</c:v>
                </c:pt>
                <c:pt idx="2">
                  <c:v>3</c:v>
                </c:pt>
                <c:pt idx="3">
                  <c:v>3</c:v>
                </c:pt>
              </c:numCache>
            </c:numRef>
          </c:val>
          <c:extLst>
            <c:ext xmlns:c16="http://schemas.microsoft.com/office/drawing/2014/chart" uri="{C3380CC4-5D6E-409C-BE32-E72D297353CC}">
              <c16:uniqueId val="{00000001-0817-459D-BCDD-9C8E03A15AA0}"/>
            </c:ext>
          </c:extLst>
        </c:ser>
        <c:ser>
          <c:idx val="2"/>
          <c:order val="2"/>
          <c:tx>
            <c:strRef>
              <c:f>PT_Issues!$D$1</c:f>
              <c:strCache>
                <c:ptCount val="1"/>
                <c:pt idx="0">
                  <c:v>Remaining Issues</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PT_Issues!$A$2:$A$6</c:f>
              <c:strCache>
                <c:ptCount val="4"/>
                <c:pt idx="0">
                  <c:v>Meet</c:v>
                </c:pt>
                <c:pt idx="1">
                  <c:v>Teams</c:v>
                </c:pt>
                <c:pt idx="2">
                  <c:v>Webex</c:v>
                </c:pt>
                <c:pt idx="3">
                  <c:v>Zoom</c:v>
                </c:pt>
              </c:strCache>
            </c:strRef>
          </c:cat>
          <c:val>
            <c:numRef>
              <c:f>PT_Issues!$D$2:$D$6</c:f>
              <c:numCache>
                <c:formatCode>General</c:formatCode>
                <c:ptCount val="4"/>
                <c:pt idx="0">
                  <c:v>1</c:v>
                </c:pt>
                <c:pt idx="1">
                  <c:v>1</c:v>
                </c:pt>
                <c:pt idx="2">
                  <c:v>1</c:v>
                </c:pt>
                <c:pt idx="3">
                  <c:v>1</c:v>
                </c:pt>
              </c:numCache>
            </c:numRef>
          </c:val>
          <c:extLst>
            <c:ext xmlns:c16="http://schemas.microsoft.com/office/drawing/2014/chart" uri="{C3380CC4-5D6E-409C-BE32-E72D297353CC}">
              <c16:uniqueId val="{00000002-0817-459D-BCDD-9C8E03A15AA0}"/>
            </c:ext>
          </c:extLst>
        </c:ser>
        <c:dLbls>
          <c:dLblPos val="outEnd"/>
          <c:showLegendKey val="0"/>
          <c:showVal val="1"/>
          <c:showCatName val="0"/>
          <c:showSerName val="0"/>
          <c:showPercent val="0"/>
          <c:showBubbleSize val="0"/>
        </c:dLbls>
        <c:gapWidth val="182"/>
        <c:axId val="1126132639"/>
        <c:axId val="1126118719"/>
      </c:barChart>
      <c:catAx>
        <c:axId val="112613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1126118719"/>
        <c:crosses val="autoZero"/>
        <c:auto val="1"/>
        <c:lblAlgn val="ctr"/>
        <c:lblOffset val="100"/>
        <c:noMultiLvlLbl val="0"/>
      </c:catAx>
      <c:valAx>
        <c:axId val="1126118719"/>
        <c:scaling>
          <c:orientation val="minMax"/>
        </c:scaling>
        <c:delete val="1"/>
        <c:axPos val="b"/>
        <c:numFmt formatCode="General" sourceLinked="1"/>
        <c:majorTickMark val="none"/>
        <c:minorTickMark val="none"/>
        <c:tickLblPos val="nextTo"/>
        <c:crossAx val="1126132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163830</xdr:rowOff>
    </xdr:from>
    <xdr:to>
      <xdr:col>4</xdr:col>
      <xdr:colOff>640080</xdr:colOff>
      <xdr:row>23</xdr:row>
      <xdr:rowOff>163830</xdr:rowOff>
    </xdr:to>
    <xdr:graphicFrame macro="">
      <xdr:nvGraphicFramePr>
        <xdr:cNvPr id="14" name="Chart 13">
          <a:extLst>
            <a:ext uri="{FF2B5EF4-FFF2-40B4-BE49-F238E27FC236}">
              <a16:creationId xmlns:a16="http://schemas.microsoft.com/office/drawing/2014/main" id="{F37B33AA-2EC5-253D-06F9-B008C56D22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182880</xdr:colOff>
      <xdr:row>5</xdr:row>
      <xdr:rowOff>129541</xdr:rowOff>
    </xdr:from>
    <xdr:to>
      <xdr:col>8</xdr:col>
      <xdr:colOff>731520</xdr:colOff>
      <xdr:row>13</xdr:row>
      <xdr:rowOff>175261</xdr:rowOff>
    </xdr:to>
    <mc:AlternateContent xmlns:mc="http://schemas.openxmlformats.org/markup-compatibility/2006">
      <mc:Choice xmlns:a14="http://schemas.microsoft.com/office/drawing/2010/main" Requires="a14">
        <xdr:graphicFrame macro="">
          <xdr:nvGraphicFramePr>
            <xdr:cNvPr id="15" name="product 1">
              <a:extLst>
                <a:ext uri="{FF2B5EF4-FFF2-40B4-BE49-F238E27FC236}">
                  <a16:creationId xmlns:a16="http://schemas.microsoft.com/office/drawing/2014/main" id="{6CBF85FF-7DB9-6495-CFAE-2C219859676F}"/>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7498080" y="1043941"/>
              <a:ext cx="1828800" cy="15087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822960</xdr:colOff>
      <xdr:row>7</xdr:row>
      <xdr:rowOff>3810</xdr:rowOff>
    </xdr:from>
    <xdr:to>
      <xdr:col>10</xdr:col>
      <xdr:colOff>205740</xdr:colOff>
      <xdr:row>22</xdr:row>
      <xdr:rowOff>3810</xdr:rowOff>
    </xdr:to>
    <xdr:graphicFrame macro="">
      <xdr:nvGraphicFramePr>
        <xdr:cNvPr id="2" name="Chart 1">
          <a:extLst>
            <a:ext uri="{FF2B5EF4-FFF2-40B4-BE49-F238E27FC236}">
              <a16:creationId xmlns:a16="http://schemas.microsoft.com/office/drawing/2014/main" id="{FFD069F0-DA02-81C1-8C80-C2A0EA4ABB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327660</xdr:colOff>
      <xdr:row>2</xdr:row>
      <xdr:rowOff>167641</xdr:rowOff>
    </xdr:from>
    <xdr:to>
      <xdr:col>13</xdr:col>
      <xdr:colOff>327660</xdr:colOff>
      <xdr:row>11</xdr:row>
      <xdr:rowOff>1</xdr:rowOff>
    </xdr:to>
    <mc:AlternateContent xmlns:mc="http://schemas.openxmlformats.org/markup-compatibility/2006">
      <mc:Choice xmlns:a14="http://schemas.microsoft.com/office/drawing/2010/main" Requires="a14">
        <xdr:graphicFrame macro="">
          <xdr:nvGraphicFramePr>
            <xdr:cNvPr id="3" name="Product 2">
              <a:extLst>
                <a:ext uri="{FF2B5EF4-FFF2-40B4-BE49-F238E27FC236}">
                  <a16:creationId xmlns:a16="http://schemas.microsoft.com/office/drawing/2014/main" id="{F4432FE2-2128-9126-33FB-C6729FAE8D93}"/>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dr:sp macro="" textlink="">
          <xdr:nvSpPr>
            <xdr:cNvPr id="0" name=""/>
            <xdr:cNvSpPr>
              <a:spLocks noTextEdit="1"/>
            </xdr:cNvSpPr>
          </xdr:nvSpPr>
          <xdr:spPr>
            <a:xfrm>
              <a:off x="7734300" y="533401"/>
              <a:ext cx="1828800" cy="1478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800100</xdr:colOff>
      <xdr:row>0</xdr:row>
      <xdr:rowOff>45720</xdr:rowOff>
    </xdr:from>
    <xdr:to>
      <xdr:col>7</xdr:col>
      <xdr:colOff>861060</xdr:colOff>
      <xdr:row>8</xdr:row>
      <xdr:rowOff>137159</xdr:rowOff>
    </xdr:to>
    <mc:AlternateContent xmlns:mc="http://schemas.openxmlformats.org/markup-compatibility/2006" xmlns:a14="http://schemas.microsoft.com/office/drawing/2010/main">
      <mc:Choice Requires="a14">
        <xdr:graphicFrame macro="">
          <xdr:nvGraphicFramePr>
            <xdr:cNvPr id="2" name="product">
              <a:extLst>
                <a:ext uri="{FF2B5EF4-FFF2-40B4-BE49-F238E27FC236}">
                  <a16:creationId xmlns:a16="http://schemas.microsoft.com/office/drawing/2014/main" id="{FAB1CE87-86DF-3F0C-7582-ADC050E2330D}"/>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5273040" y="45720"/>
              <a:ext cx="1470660" cy="15544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487680</xdr:colOff>
      <xdr:row>10</xdr:row>
      <xdr:rowOff>19050</xdr:rowOff>
    </xdr:from>
    <xdr:to>
      <xdr:col>7</xdr:col>
      <xdr:colOff>266700</xdr:colOff>
      <xdr:row>25</xdr:row>
      <xdr:rowOff>19050</xdr:rowOff>
    </xdr:to>
    <xdr:graphicFrame macro="">
      <xdr:nvGraphicFramePr>
        <xdr:cNvPr id="5" name="Chart 4">
          <a:extLst>
            <a:ext uri="{FF2B5EF4-FFF2-40B4-BE49-F238E27FC236}">
              <a16:creationId xmlns:a16="http://schemas.microsoft.com/office/drawing/2014/main" id="{8AF24985-88DD-817E-3C4B-02CAFFDE46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198120</xdr:colOff>
      <xdr:row>1</xdr:row>
      <xdr:rowOff>7620</xdr:rowOff>
    </xdr:from>
    <xdr:to>
      <xdr:col>6</xdr:col>
      <xdr:colOff>190500</xdr:colOff>
      <xdr:row>3</xdr:row>
      <xdr:rowOff>129540</xdr:rowOff>
    </xdr:to>
    <xdr:sp macro="" textlink="$B$2">
      <xdr:nvSpPr>
        <xdr:cNvPr id="2" name="TextBox 1">
          <a:extLst>
            <a:ext uri="{FF2B5EF4-FFF2-40B4-BE49-F238E27FC236}">
              <a16:creationId xmlns:a16="http://schemas.microsoft.com/office/drawing/2014/main" id="{A690EF05-1EF1-0782-CE50-EC5DB182EB7F}"/>
            </a:ext>
          </a:extLst>
        </xdr:cNvPr>
        <xdr:cNvSpPr txBox="1"/>
      </xdr:nvSpPr>
      <xdr:spPr>
        <a:xfrm>
          <a:off x="2362200" y="190500"/>
          <a:ext cx="1821180" cy="4876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i="0" u="none" strike="noStrike">
              <a:solidFill>
                <a:srgbClr val="000000"/>
              </a:solidFill>
              <a:latin typeface="Arial" panose="020B0604020202020204" pitchFamily="34" charset="0"/>
              <a:ea typeface="Calibri"/>
              <a:cs typeface="Arial" panose="020B0604020202020204" pitchFamily="34" charset="0"/>
            </a:rPr>
            <a:t>COMPLETENESS</a:t>
          </a:r>
        </a:p>
        <a:p>
          <a:pPr algn="ctr"/>
          <a:fld id="{D5B955F6-40ED-4D53-B9EC-1724C00B9073}" type="TxLink">
            <a:rPr lang="en-US" sz="1100" b="0" i="0" u="none" strike="noStrike">
              <a:solidFill>
                <a:srgbClr val="000000"/>
              </a:solidFill>
              <a:latin typeface="Arial" panose="020B0604020202020204" pitchFamily="34" charset="0"/>
              <a:ea typeface="Calibri"/>
              <a:cs typeface="Arial" panose="020B0604020202020204" pitchFamily="34" charset="0"/>
            </a:rPr>
            <a:pPr algn="ctr"/>
            <a:t>96.34%</a:t>
          </a:fld>
          <a:endParaRPr lang="en-US" sz="1100">
            <a:latin typeface="Arial" panose="020B0604020202020204" pitchFamily="34" charset="0"/>
            <a:cs typeface="Arial" panose="020B0604020202020204" pitchFamily="34" charset="0"/>
          </a:endParaRPr>
        </a:p>
      </xdr:txBody>
    </xdr:sp>
    <xdr:clientData/>
  </xdr:twoCellAnchor>
  <xdr:twoCellAnchor>
    <xdr:from>
      <xdr:col>3</xdr:col>
      <xdr:colOff>190500</xdr:colOff>
      <xdr:row>4</xdr:row>
      <xdr:rowOff>114300</xdr:rowOff>
    </xdr:from>
    <xdr:to>
      <xdr:col>6</xdr:col>
      <xdr:colOff>182880</xdr:colOff>
      <xdr:row>7</xdr:row>
      <xdr:rowOff>53340</xdr:rowOff>
    </xdr:to>
    <xdr:sp macro="" textlink="$B$5">
      <xdr:nvSpPr>
        <xdr:cNvPr id="4" name="TextBox 3">
          <a:extLst>
            <a:ext uri="{FF2B5EF4-FFF2-40B4-BE49-F238E27FC236}">
              <a16:creationId xmlns:a16="http://schemas.microsoft.com/office/drawing/2014/main" id="{249AEADE-D66C-485F-ADF1-5613830BCF92}"/>
            </a:ext>
          </a:extLst>
        </xdr:cNvPr>
        <xdr:cNvSpPr txBox="1"/>
      </xdr:nvSpPr>
      <xdr:spPr>
        <a:xfrm>
          <a:off x="2354580" y="845820"/>
          <a:ext cx="1821180" cy="4876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i="0" u="none" strike="noStrike">
              <a:solidFill>
                <a:srgbClr val="000000"/>
              </a:solidFill>
              <a:latin typeface="Arial" panose="020B0604020202020204" pitchFamily="34" charset="0"/>
              <a:ea typeface="Calibri"/>
              <a:cs typeface="Arial" panose="020B0604020202020204" pitchFamily="34" charset="0"/>
            </a:rPr>
            <a:t>RETENTION</a:t>
          </a:r>
        </a:p>
        <a:p>
          <a:pPr algn="ctr"/>
          <a:fld id="{F8824CAD-CB28-4D85-9956-41DA77E3F82A}" type="TxLink">
            <a:rPr lang="en-US" sz="1100" b="0" i="0" u="none" strike="noStrike">
              <a:solidFill>
                <a:srgbClr val="000000"/>
              </a:solidFill>
              <a:latin typeface="Arial" panose="020B0604020202020204" pitchFamily="34" charset="0"/>
              <a:ea typeface="Calibri"/>
              <a:cs typeface="Arial" panose="020B0604020202020204" pitchFamily="34" charset="0"/>
            </a:rPr>
            <a:t>100.00%</a:t>
          </a:fld>
          <a:endParaRPr lang="en-US" sz="1100">
            <a:latin typeface="Arial" panose="020B0604020202020204" pitchFamily="34" charset="0"/>
            <a:cs typeface="Arial" panose="020B0604020202020204" pitchFamily="34" charset="0"/>
          </a:endParaRPr>
        </a:p>
      </xdr:txBody>
    </xdr:sp>
    <xdr:clientData/>
  </xdr:twoCellAnchor>
  <xdr:twoCellAnchor>
    <xdr:from>
      <xdr:col>6</xdr:col>
      <xdr:colOff>396240</xdr:colOff>
      <xdr:row>4</xdr:row>
      <xdr:rowOff>91440</xdr:rowOff>
    </xdr:from>
    <xdr:to>
      <xdr:col>9</xdr:col>
      <xdr:colOff>388620</xdr:colOff>
      <xdr:row>7</xdr:row>
      <xdr:rowOff>30480</xdr:rowOff>
    </xdr:to>
    <xdr:sp macro="" textlink="$B$4">
      <xdr:nvSpPr>
        <xdr:cNvPr id="5" name="TextBox 4">
          <a:extLst>
            <a:ext uri="{FF2B5EF4-FFF2-40B4-BE49-F238E27FC236}">
              <a16:creationId xmlns:a16="http://schemas.microsoft.com/office/drawing/2014/main" id="{9E01BB5A-C1B6-4C70-B8D2-1AEFB26D754E}"/>
            </a:ext>
          </a:extLst>
        </xdr:cNvPr>
        <xdr:cNvSpPr txBox="1"/>
      </xdr:nvSpPr>
      <xdr:spPr>
        <a:xfrm>
          <a:off x="4389120" y="822960"/>
          <a:ext cx="1821180" cy="4876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i="0" u="none" strike="noStrike">
              <a:solidFill>
                <a:srgbClr val="000000"/>
              </a:solidFill>
              <a:latin typeface="Arial" panose="020B0604020202020204" pitchFamily="34" charset="0"/>
              <a:ea typeface="Calibri"/>
              <a:cs typeface="Arial" panose="020B0604020202020204" pitchFamily="34" charset="0"/>
            </a:rPr>
            <a:t>VALIDITY</a:t>
          </a:r>
        </a:p>
        <a:p>
          <a:pPr algn="ctr"/>
          <a:fld id="{D520851A-A8D8-4EED-878C-A04066807EA5}" type="TxLink">
            <a:rPr lang="en-US" sz="1100" b="0" i="0" u="none" strike="noStrike">
              <a:solidFill>
                <a:srgbClr val="000000"/>
              </a:solidFill>
              <a:latin typeface="Arial" panose="020B0604020202020204" pitchFamily="34" charset="0"/>
              <a:ea typeface="Calibri"/>
              <a:cs typeface="Arial" panose="020B0604020202020204" pitchFamily="34" charset="0"/>
            </a:rPr>
            <a:t>100.00%</a:t>
          </a:fld>
          <a:endParaRPr lang="en-US" sz="1100">
            <a:latin typeface="Arial" panose="020B0604020202020204" pitchFamily="34" charset="0"/>
            <a:cs typeface="Arial" panose="020B0604020202020204" pitchFamily="34" charset="0"/>
          </a:endParaRPr>
        </a:p>
      </xdr:txBody>
    </xdr:sp>
    <xdr:clientData/>
  </xdr:twoCellAnchor>
  <xdr:twoCellAnchor>
    <xdr:from>
      <xdr:col>6</xdr:col>
      <xdr:colOff>365760</xdr:colOff>
      <xdr:row>1</xdr:row>
      <xdr:rowOff>30480</xdr:rowOff>
    </xdr:from>
    <xdr:to>
      <xdr:col>9</xdr:col>
      <xdr:colOff>358140</xdr:colOff>
      <xdr:row>3</xdr:row>
      <xdr:rowOff>152400</xdr:rowOff>
    </xdr:to>
    <xdr:sp macro="" textlink="$B$3">
      <xdr:nvSpPr>
        <xdr:cNvPr id="6" name="TextBox 5">
          <a:extLst>
            <a:ext uri="{FF2B5EF4-FFF2-40B4-BE49-F238E27FC236}">
              <a16:creationId xmlns:a16="http://schemas.microsoft.com/office/drawing/2014/main" id="{6C3D21CA-5FE9-4AE3-BB6D-CFCB68E30516}"/>
            </a:ext>
          </a:extLst>
        </xdr:cNvPr>
        <xdr:cNvSpPr txBox="1"/>
      </xdr:nvSpPr>
      <xdr:spPr>
        <a:xfrm>
          <a:off x="4358640" y="213360"/>
          <a:ext cx="1821180" cy="4876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i="0" u="none" strike="noStrike">
              <a:solidFill>
                <a:srgbClr val="000000"/>
              </a:solidFill>
              <a:latin typeface="Arial" panose="020B0604020202020204" pitchFamily="34" charset="0"/>
              <a:ea typeface="Calibri"/>
              <a:cs typeface="Arial" panose="020B0604020202020204" pitchFamily="34" charset="0"/>
            </a:rPr>
            <a:t>UNIQUENESS</a:t>
          </a:r>
        </a:p>
        <a:p>
          <a:pPr algn="ctr"/>
          <a:fld id="{62534BE6-366E-452A-8978-EE1EE2F22F72}" type="TxLink">
            <a:rPr lang="en-US" sz="1100" b="0" i="0" u="none" strike="noStrike">
              <a:solidFill>
                <a:srgbClr val="000000"/>
              </a:solidFill>
              <a:latin typeface="Arial" panose="020B0604020202020204" pitchFamily="34" charset="0"/>
              <a:ea typeface="Calibri"/>
              <a:cs typeface="Arial" panose="020B0604020202020204" pitchFamily="34" charset="0"/>
            </a:rPr>
            <a:t>100.00%</a:t>
          </a:fld>
          <a:endParaRPr lang="en-US" sz="1100">
            <a:latin typeface="Arial" panose="020B0604020202020204" pitchFamily="34" charset="0"/>
            <a:cs typeface="Arial" panose="020B06040202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16</xdr:col>
      <xdr:colOff>15240</xdr:colOff>
      <xdr:row>3</xdr:row>
      <xdr:rowOff>83819</xdr:rowOff>
    </xdr:from>
    <xdr:to>
      <xdr:col>19</xdr:col>
      <xdr:colOff>184472</xdr:colOff>
      <xdr:row>7</xdr:row>
      <xdr:rowOff>87458</xdr:rowOff>
    </xdr:to>
    <xdr:sp macro="" textlink="$R$2">
      <xdr:nvSpPr>
        <xdr:cNvPr id="2" name="TextBox 1">
          <a:extLst>
            <a:ext uri="{FF2B5EF4-FFF2-40B4-BE49-F238E27FC236}">
              <a16:creationId xmlns:a16="http://schemas.microsoft.com/office/drawing/2014/main" id="{164E725B-90F1-4531-BEE8-D22CC9D35730}"/>
            </a:ext>
          </a:extLst>
        </xdr:cNvPr>
        <xdr:cNvSpPr txBox="1"/>
      </xdr:nvSpPr>
      <xdr:spPr>
        <a:xfrm>
          <a:off x="15240" y="629729"/>
          <a:ext cx="2011680" cy="731520"/>
        </a:xfrm>
        <a:prstGeom prst="roundRect">
          <a:avLst/>
        </a:prstGeom>
        <a:solidFill>
          <a:schemeClr val="lt1"/>
        </a:solidFill>
        <a:ln w="9525" cmpd="sng">
          <a:solidFill>
            <a:schemeClr val="tx1">
              <a:lumMod val="65000"/>
              <a:lumOff val="3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i="0" u="none" strike="noStrike">
              <a:solidFill>
                <a:srgbClr val="000000"/>
              </a:solidFill>
              <a:latin typeface="Arial" panose="020B0604020202020204" pitchFamily="34" charset="0"/>
              <a:ea typeface="Calibri"/>
              <a:cs typeface="Arial" panose="020B0604020202020204" pitchFamily="34" charset="0"/>
            </a:rPr>
            <a:t>COMPLETENESS</a:t>
          </a:r>
        </a:p>
        <a:p>
          <a:pPr algn="ctr"/>
          <a:fld id="{D5B955F6-40ED-4D53-B9EC-1724C00B9073}" type="TxLink">
            <a:rPr lang="en-US" sz="1400" b="0" i="0" u="none" strike="noStrike">
              <a:solidFill>
                <a:srgbClr val="000000"/>
              </a:solidFill>
              <a:latin typeface="Arial" panose="020B0604020202020204" pitchFamily="34" charset="0"/>
              <a:ea typeface="Calibri"/>
              <a:cs typeface="Arial" panose="020B0604020202020204" pitchFamily="34" charset="0"/>
            </a:rPr>
            <a:pPr algn="ctr"/>
            <a:t>96.34%</a:t>
          </a:fld>
          <a:endParaRPr lang="en-US" sz="1400">
            <a:latin typeface="Arial" panose="020B0604020202020204" pitchFamily="34" charset="0"/>
            <a:cs typeface="Arial" panose="020B0604020202020204" pitchFamily="34" charset="0"/>
          </a:endParaRPr>
        </a:p>
      </xdr:txBody>
    </xdr:sp>
    <xdr:clientData/>
  </xdr:twoCellAnchor>
  <xdr:twoCellAnchor>
    <xdr:from>
      <xdr:col>23</xdr:col>
      <xdr:colOff>65845</xdr:colOff>
      <xdr:row>3</xdr:row>
      <xdr:rowOff>83820</xdr:rowOff>
    </xdr:from>
    <xdr:to>
      <xdr:col>26</xdr:col>
      <xdr:colOff>235077</xdr:colOff>
      <xdr:row>7</xdr:row>
      <xdr:rowOff>87459</xdr:rowOff>
    </xdr:to>
    <xdr:sp macro="" textlink="$R$5">
      <xdr:nvSpPr>
        <xdr:cNvPr id="3" name="TextBox 2">
          <a:extLst>
            <a:ext uri="{FF2B5EF4-FFF2-40B4-BE49-F238E27FC236}">
              <a16:creationId xmlns:a16="http://schemas.microsoft.com/office/drawing/2014/main" id="{5FF4D1C7-AABD-4F84-96CB-B2C4A556B55F}"/>
            </a:ext>
          </a:extLst>
        </xdr:cNvPr>
        <xdr:cNvSpPr txBox="1"/>
      </xdr:nvSpPr>
      <xdr:spPr>
        <a:xfrm>
          <a:off x="4364890" y="629730"/>
          <a:ext cx="2011680" cy="731520"/>
        </a:xfrm>
        <a:prstGeom prst="roundRect">
          <a:avLst/>
        </a:prstGeom>
        <a:solidFill>
          <a:schemeClr val="lt1"/>
        </a:solidFill>
        <a:ln w="9525" cmpd="sng">
          <a:solidFill>
            <a:schemeClr val="tx1">
              <a:lumMod val="65000"/>
              <a:lumOff val="3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i="0" u="none" strike="noStrike">
              <a:solidFill>
                <a:srgbClr val="000000"/>
              </a:solidFill>
              <a:latin typeface="Arial" panose="020B0604020202020204" pitchFamily="34" charset="0"/>
              <a:ea typeface="Calibri"/>
              <a:cs typeface="Arial" panose="020B0604020202020204" pitchFamily="34" charset="0"/>
            </a:rPr>
            <a:t>RETENTION</a:t>
          </a:r>
        </a:p>
        <a:p>
          <a:pPr algn="ctr"/>
          <a:fld id="{F8824CAD-CB28-4D85-9956-41DA77E3F82A}" type="TxLink">
            <a:rPr lang="en-US" sz="1400" b="0" i="0" u="none" strike="noStrike">
              <a:solidFill>
                <a:srgbClr val="000000"/>
              </a:solidFill>
              <a:latin typeface="Arial" panose="020B0604020202020204" pitchFamily="34" charset="0"/>
              <a:ea typeface="Calibri"/>
              <a:cs typeface="Arial" panose="020B0604020202020204" pitchFamily="34" charset="0"/>
            </a:rPr>
            <a:t>100.00%</a:t>
          </a:fld>
          <a:endParaRPr lang="en-US" sz="1400">
            <a:latin typeface="Arial" panose="020B0604020202020204" pitchFamily="34" charset="0"/>
            <a:cs typeface="Arial" panose="020B0604020202020204" pitchFamily="34" charset="0"/>
          </a:endParaRPr>
        </a:p>
      </xdr:txBody>
    </xdr:sp>
    <xdr:clientData/>
  </xdr:twoCellAnchor>
  <xdr:twoCellAnchor>
    <xdr:from>
      <xdr:col>26</xdr:col>
      <xdr:colOff>403973</xdr:colOff>
      <xdr:row>3</xdr:row>
      <xdr:rowOff>76200</xdr:rowOff>
    </xdr:from>
    <xdr:to>
      <xdr:col>29</xdr:col>
      <xdr:colOff>573206</xdr:colOff>
      <xdr:row>7</xdr:row>
      <xdr:rowOff>79839</xdr:rowOff>
    </xdr:to>
    <xdr:sp macro="" textlink="$R$4">
      <xdr:nvSpPr>
        <xdr:cNvPr id="4" name="TextBox 3">
          <a:extLst>
            <a:ext uri="{FF2B5EF4-FFF2-40B4-BE49-F238E27FC236}">
              <a16:creationId xmlns:a16="http://schemas.microsoft.com/office/drawing/2014/main" id="{1EABB428-A580-4D2B-9B15-6DC55CCDCC66}"/>
            </a:ext>
          </a:extLst>
        </xdr:cNvPr>
        <xdr:cNvSpPr txBox="1"/>
      </xdr:nvSpPr>
      <xdr:spPr>
        <a:xfrm>
          <a:off x="6545466" y="622110"/>
          <a:ext cx="2011680" cy="731520"/>
        </a:xfrm>
        <a:prstGeom prst="roundRect">
          <a:avLst/>
        </a:prstGeom>
        <a:solidFill>
          <a:schemeClr val="lt1"/>
        </a:solidFill>
        <a:ln w="9525" cmpd="sng">
          <a:solidFill>
            <a:schemeClr val="tx1">
              <a:lumMod val="65000"/>
              <a:lumOff val="3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i="0" u="none" strike="noStrike">
              <a:solidFill>
                <a:srgbClr val="000000"/>
              </a:solidFill>
              <a:latin typeface="Arial" panose="020B0604020202020204" pitchFamily="34" charset="0"/>
              <a:ea typeface="Calibri"/>
              <a:cs typeface="Arial" panose="020B0604020202020204" pitchFamily="34" charset="0"/>
            </a:rPr>
            <a:t>VALIDITY</a:t>
          </a:r>
        </a:p>
        <a:p>
          <a:pPr algn="ctr"/>
          <a:fld id="{D520851A-A8D8-4EED-878C-A04066807EA5}" type="TxLink">
            <a:rPr lang="en-US" sz="1400" b="0" i="0" u="none" strike="noStrike">
              <a:solidFill>
                <a:srgbClr val="000000"/>
              </a:solidFill>
              <a:latin typeface="Arial" panose="020B0604020202020204" pitchFamily="34" charset="0"/>
              <a:ea typeface="Calibri"/>
              <a:cs typeface="Arial" panose="020B0604020202020204" pitchFamily="34" charset="0"/>
            </a:rPr>
            <a:t>100.00%</a:t>
          </a:fld>
          <a:endParaRPr lang="en-US" sz="1400">
            <a:latin typeface="Arial" panose="020B0604020202020204" pitchFamily="34" charset="0"/>
            <a:cs typeface="Arial" panose="020B0604020202020204" pitchFamily="34" charset="0"/>
          </a:endParaRPr>
        </a:p>
      </xdr:txBody>
    </xdr:sp>
    <xdr:clientData/>
  </xdr:twoCellAnchor>
  <xdr:twoCellAnchor>
    <xdr:from>
      <xdr:col>19</xdr:col>
      <xdr:colOff>353361</xdr:colOff>
      <xdr:row>3</xdr:row>
      <xdr:rowOff>83820</xdr:rowOff>
    </xdr:from>
    <xdr:to>
      <xdr:col>22</xdr:col>
      <xdr:colOff>522593</xdr:colOff>
      <xdr:row>7</xdr:row>
      <xdr:rowOff>87459</xdr:rowOff>
    </xdr:to>
    <xdr:sp macro="" textlink="$R$3">
      <xdr:nvSpPr>
        <xdr:cNvPr id="5" name="TextBox 4">
          <a:extLst>
            <a:ext uri="{FF2B5EF4-FFF2-40B4-BE49-F238E27FC236}">
              <a16:creationId xmlns:a16="http://schemas.microsoft.com/office/drawing/2014/main" id="{2F3DC262-E967-4C7C-871A-051246ED5905}"/>
            </a:ext>
          </a:extLst>
        </xdr:cNvPr>
        <xdr:cNvSpPr txBox="1"/>
      </xdr:nvSpPr>
      <xdr:spPr>
        <a:xfrm>
          <a:off x="2195809" y="629730"/>
          <a:ext cx="2011680" cy="731520"/>
        </a:xfrm>
        <a:prstGeom prst="roundRect">
          <a:avLst/>
        </a:prstGeom>
        <a:solidFill>
          <a:schemeClr val="lt1"/>
        </a:solidFill>
        <a:ln w="9525" cmpd="sng">
          <a:solidFill>
            <a:schemeClr val="tx1">
              <a:lumMod val="65000"/>
              <a:lumOff val="3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i="0" u="none" strike="noStrike">
              <a:solidFill>
                <a:srgbClr val="000000"/>
              </a:solidFill>
              <a:latin typeface="Arial" panose="020B0604020202020204" pitchFamily="34" charset="0"/>
              <a:ea typeface="Calibri"/>
              <a:cs typeface="Arial" panose="020B0604020202020204" pitchFamily="34" charset="0"/>
            </a:rPr>
            <a:t>UNIQUENESS</a:t>
          </a:r>
        </a:p>
        <a:p>
          <a:pPr algn="ctr"/>
          <a:fld id="{62534BE6-366E-452A-8978-EE1EE2F22F72}" type="TxLink">
            <a:rPr lang="en-US" sz="1400" b="0" i="0" u="none" strike="noStrike">
              <a:solidFill>
                <a:srgbClr val="000000"/>
              </a:solidFill>
              <a:latin typeface="Arial" panose="020B0604020202020204" pitchFamily="34" charset="0"/>
              <a:ea typeface="Calibri"/>
              <a:cs typeface="Arial" panose="020B0604020202020204" pitchFamily="34" charset="0"/>
            </a:rPr>
            <a:t>100.00%</a:t>
          </a:fld>
          <a:endParaRPr lang="en-US" sz="1400">
            <a:latin typeface="Arial" panose="020B0604020202020204" pitchFamily="34" charset="0"/>
            <a:cs typeface="Arial" panose="020B0604020202020204" pitchFamily="34" charset="0"/>
          </a:endParaRPr>
        </a:p>
      </xdr:txBody>
    </xdr:sp>
    <xdr:clientData/>
  </xdr:twoCellAnchor>
  <xdr:twoCellAnchor>
    <xdr:from>
      <xdr:col>16</xdr:col>
      <xdr:colOff>7620</xdr:colOff>
      <xdr:row>7</xdr:row>
      <xdr:rowOff>170595</xdr:rowOff>
    </xdr:from>
    <xdr:to>
      <xdr:col>23</xdr:col>
      <xdr:colOff>466298</xdr:colOff>
      <xdr:row>22</xdr:row>
      <xdr:rowOff>170595</xdr:rowOff>
    </xdr:to>
    <xdr:graphicFrame macro="">
      <xdr:nvGraphicFramePr>
        <xdr:cNvPr id="6" name="Chart 5">
          <a:extLst>
            <a:ext uri="{FF2B5EF4-FFF2-40B4-BE49-F238E27FC236}">
              <a16:creationId xmlns:a16="http://schemas.microsoft.com/office/drawing/2014/main" id="{74690D97-8D8F-4328-AD16-25D343B9D5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2540</xdr:colOff>
      <xdr:row>23</xdr:row>
      <xdr:rowOff>82719</xdr:rowOff>
    </xdr:from>
    <xdr:to>
      <xdr:col>26</xdr:col>
      <xdr:colOff>12700</xdr:colOff>
      <xdr:row>38</xdr:row>
      <xdr:rowOff>82719</xdr:rowOff>
    </xdr:to>
    <xdr:graphicFrame macro="">
      <xdr:nvGraphicFramePr>
        <xdr:cNvPr id="7" name="Chart 6">
          <a:extLst>
            <a:ext uri="{FF2B5EF4-FFF2-40B4-BE49-F238E27FC236}">
              <a16:creationId xmlns:a16="http://schemas.microsoft.com/office/drawing/2014/main" id="{00F907A3-653A-4765-ABB7-9E14C55A11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580976</xdr:colOff>
      <xdr:row>7</xdr:row>
      <xdr:rowOff>153725</xdr:rowOff>
    </xdr:from>
    <xdr:to>
      <xdr:col>31</xdr:col>
      <xdr:colOff>43027</xdr:colOff>
      <xdr:row>23</xdr:row>
      <xdr:rowOff>1325</xdr:rowOff>
    </xdr:to>
    <xdr:graphicFrame macro="">
      <xdr:nvGraphicFramePr>
        <xdr:cNvPr id="8" name="Chart 7">
          <a:extLst>
            <a:ext uri="{FF2B5EF4-FFF2-40B4-BE49-F238E27FC236}">
              <a16:creationId xmlns:a16="http://schemas.microsoft.com/office/drawing/2014/main" id="{EB63753F-2574-43C1-B70D-3564B4B9A1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26</xdr:col>
      <xdr:colOff>241300</xdr:colOff>
      <xdr:row>23</xdr:row>
      <xdr:rowOff>91552</xdr:rowOff>
    </xdr:from>
    <xdr:to>
      <xdr:col>29</xdr:col>
      <xdr:colOff>241300</xdr:colOff>
      <xdr:row>32</xdr:row>
      <xdr:rowOff>112</xdr:rowOff>
    </xdr:to>
    <mc:AlternateContent xmlns:mc="http://schemas.openxmlformats.org/markup-compatibility/2006">
      <mc:Choice xmlns:a14="http://schemas.microsoft.com/office/drawing/2010/main" Requires="a14">
        <xdr:graphicFrame macro="">
          <xdr:nvGraphicFramePr>
            <xdr:cNvPr id="9" name="product 3">
              <a:extLst>
                <a:ext uri="{FF2B5EF4-FFF2-40B4-BE49-F238E27FC236}">
                  <a16:creationId xmlns:a16="http://schemas.microsoft.com/office/drawing/2014/main" id="{12B225FC-BA3E-46D3-91BC-DAE16472B0F1}"/>
                </a:ext>
              </a:extLst>
            </xdr:cNvPr>
            <xdr:cNvGraphicFramePr/>
          </xdr:nvGraphicFramePr>
          <xdr:xfrm>
            <a:off x="0" y="0"/>
            <a:ext cx="0" cy="0"/>
          </xdr:xfrm>
          <a:graphic>
            <a:graphicData uri="http://schemas.microsoft.com/office/drawing/2010/slicer">
              <sle:slicer xmlns:sle="http://schemas.microsoft.com/office/drawing/2010/slicer" name="product 3"/>
            </a:graphicData>
          </a:graphic>
        </xdr:graphicFrame>
      </mc:Choice>
      <mc:Fallback>
        <xdr:sp macro="" textlink="">
          <xdr:nvSpPr>
            <xdr:cNvPr id="0" name=""/>
            <xdr:cNvSpPr>
              <a:spLocks noTextEdit="1"/>
            </xdr:cNvSpPr>
          </xdr:nvSpPr>
          <xdr:spPr>
            <a:xfrm>
              <a:off x="16033474" y="4409552"/>
              <a:ext cx="1822174" cy="159821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jjwal Karki" refreshedDate="46267.4624744213" createdVersion="8" refreshedVersion="8" minRefreshableVersion="3" recordCount="4" xr:uid="{91162948-C8C1-46E1-B0F3-E8B7DEEDA32F}">
  <cacheSource type="worksheet">
    <worksheetSource name="Table12"/>
  </cacheSource>
  <cacheFields count="9">
    <cacheField name="product" numFmtId="0">
      <sharedItems count="4">
        <s v="Meet"/>
        <s v="Teams"/>
        <s v="Webex"/>
        <s v="Zoom"/>
      </sharedItems>
    </cacheField>
    <cacheField name="rows_before_clean" numFmtId="0">
      <sharedItems containsSemiMixedTypes="0" containsString="0" containsNumber="1" containsInteger="1" minValue="6000" maxValue="6000"/>
    </cacheField>
    <cacheField name="rows_after_clean" numFmtId="0">
      <sharedItems containsSemiMixedTypes="0" containsString="0" containsNumber="1" containsInteger="1" minValue="5999" maxValue="6000"/>
    </cacheField>
    <cacheField name="rows_rem" numFmtId="0">
      <sharedItems containsSemiMixedTypes="0" containsString="0" containsNumber="1" containsInteger="1" minValue="0" maxValue="1"/>
    </cacheField>
    <cacheField name="duplicate_reduc" numFmtId="0">
      <sharedItems containsSemiMixedTypes="0" containsString="0" containsNumber="1" containsInteger="1" minValue="0" maxValue="1"/>
    </cacheField>
    <cacheField name="completeness" numFmtId="10">
      <sharedItems containsSemiMixedTypes="0" containsString="0" containsNumber="1" minValue="0.92879999999999996" maxValue="0.98599999999999999" count="4">
        <n v="0.98599999999999999"/>
        <n v="0.96739456576095995"/>
        <n v="0.97130000000000005"/>
        <n v="0.92879999999999996"/>
      </sharedItems>
    </cacheField>
    <cacheField name="uniqueness" numFmtId="164">
      <sharedItems containsSemiMixedTypes="0" containsString="0" containsNumber="1" containsInteger="1" minValue="1" maxValue="1" count="1">
        <n v="1"/>
      </sharedItems>
    </cacheField>
    <cacheField name="validity" numFmtId="164">
      <sharedItems containsSemiMixedTypes="0" containsString="0" containsNumber="1" containsInteger="1" minValue="1" maxValue="1" count="1">
        <n v="1"/>
      </sharedItems>
    </cacheField>
    <cacheField name="row_retention" numFmtId="0">
      <sharedItems containsSemiMixedTypes="0" containsString="0" containsNumber="1" minValue="0.99983333333333302" maxValue="1" count="2">
        <n v="1"/>
        <n v="0.99983333333333302"/>
      </sharedItems>
    </cacheField>
  </cacheFields>
  <extLst>
    <ext xmlns:x14="http://schemas.microsoft.com/office/spreadsheetml/2009/9/main" uri="{725AE2AE-9491-48be-B2B4-4EB974FC3084}">
      <x14:pivotCacheDefinition pivotCacheId="165826039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jjwal Karki" refreshedDate="46267.492475694446" createdVersion="8" refreshedVersion="8" minRefreshableVersion="3" recordCount="4" xr:uid="{A87839A3-35E0-4805-9B72-00CA17474206}">
  <cacheSource type="worksheet">
    <worksheetSource name="Table11"/>
  </cacheSource>
  <cacheFields count="5">
    <cacheField name="product" numFmtId="0">
      <sharedItems count="4">
        <s v="Zoom"/>
        <s v="Teams"/>
        <s v="Meet"/>
        <s v="Webex"/>
      </sharedItems>
    </cacheField>
    <cacheField name="total_issues" numFmtId="0">
      <sharedItems containsSemiMixedTypes="0" containsString="0" containsNumber="1" containsInteger="1" minValue="4" maxValue="4"/>
    </cacheField>
    <cacheField name="reduced_Issues" numFmtId="0">
      <sharedItems containsSemiMixedTypes="0" containsString="0" containsNumber="1" containsInteger="1" minValue="3" maxValue="3"/>
    </cacheField>
    <cacheField name="issues_dif" numFmtId="0">
      <sharedItems containsSemiMixedTypes="0" containsString="0" containsNumber="1" containsInteger="1" minValue="1" maxValue="1"/>
    </cacheField>
    <cacheField name="issues_reduction(%)" numFmtId="164">
      <sharedItems containsSemiMixedTypes="0" containsString="0" containsNumber="1" minValue="0.75" maxValue="0.75"/>
    </cacheField>
  </cacheFields>
  <extLst>
    <ext xmlns:x14="http://schemas.microsoft.com/office/spreadsheetml/2009/9/main" uri="{725AE2AE-9491-48be-B2B4-4EB974FC3084}">
      <x14:pivotCacheDefinition pivotCacheId="71569611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jjwal Karki" refreshedDate="46268.49459490741" createdVersion="8" refreshedVersion="8" minRefreshableVersion="3" recordCount="4" xr:uid="{E8685641-AE5E-4DC3-9346-55E2BDB9DD42}">
  <cacheSource type="worksheet">
    <worksheetSource name="Table1"/>
  </cacheSource>
  <cacheFields count="2">
    <cacheField name="Product" numFmtId="0">
      <sharedItems count="4">
        <s v="Meet"/>
        <s v="Teams"/>
        <s v="Webex"/>
        <s v="Zoom"/>
      </sharedItems>
    </cacheField>
    <cacheField name="Overall Score" numFmtId="171">
      <sharedItems containsSemiMixedTypes="0" containsString="0" containsNumber="1" minValue="3.9287999999999998" maxValue="3.9859999999999998"/>
    </cacheField>
  </cacheFields>
  <extLst>
    <ext xmlns:x14="http://schemas.microsoft.com/office/spreadsheetml/2009/9/main" uri="{725AE2AE-9491-48be-B2B4-4EB974FC3084}">
      <x14:pivotCacheDefinition pivotCacheId="8596576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n v="6000"/>
    <n v="6000"/>
    <n v="0"/>
    <n v="0"/>
    <x v="0"/>
    <x v="0"/>
    <x v="0"/>
    <x v="0"/>
  </r>
  <r>
    <x v="1"/>
    <n v="6000"/>
    <n v="5999"/>
    <n v="1"/>
    <n v="1"/>
    <x v="1"/>
    <x v="0"/>
    <x v="0"/>
    <x v="1"/>
  </r>
  <r>
    <x v="2"/>
    <n v="6000"/>
    <n v="6000"/>
    <n v="0"/>
    <n v="0"/>
    <x v="2"/>
    <x v="0"/>
    <x v="0"/>
    <x v="0"/>
  </r>
  <r>
    <x v="3"/>
    <n v="6000"/>
    <n v="6000"/>
    <n v="0"/>
    <n v="0"/>
    <x v="3"/>
    <x v="0"/>
    <x v="0"/>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n v="4"/>
    <n v="3"/>
    <n v="1"/>
    <n v="0.75"/>
  </r>
  <r>
    <x v="1"/>
    <n v="4"/>
    <n v="3"/>
    <n v="1"/>
    <n v="0.75"/>
  </r>
  <r>
    <x v="2"/>
    <n v="4"/>
    <n v="3"/>
    <n v="1"/>
    <n v="0.75"/>
  </r>
  <r>
    <x v="3"/>
    <n v="4"/>
    <n v="3"/>
    <n v="1"/>
    <n v="0.75"/>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n v="3.9859999999999998"/>
  </r>
  <r>
    <x v="1"/>
    <n v="3.9672278990942931"/>
  </r>
  <r>
    <x v="2"/>
    <n v="3.9713000000000003"/>
  </r>
  <r>
    <x v="3"/>
    <n v="3.928799999999999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E53967-C66C-4D23-983E-103C5664C688}" name="PivotTable1" cacheId="6"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38">
  <location ref="A1:E6" firstHeaderRow="0" firstDataRow="1" firstDataCol="1"/>
  <pivotFields count="9">
    <pivotField axis="axisRow" showAll="0">
      <items count="5">
        <item x="0"/>
        <item x="1"/>
        <item x="2"/>
        <item x="3"/>
        <item t="default"/>
      </items>
    </pivotField>
    <pivotField showAll="0"/>
    <pivotField showAll="0"/>
    <pivotField showAll="0"/>
    <pivotField showAll="0"/>
    <pivotField dataField="1" numFmtId="164" showAll="0">
      <items count="5">
        <item x="3"/>
        <item x="1"/>
        <item x="2"/>
        <item x="0"/>
        <item t="default"/>
      </items>
    </pivotField>
    <pivotField dataField="1" numFmtId="164" showAll="0">
      <items count="2">
        <item x="0"/>
        <item t="default"/>
      </items>
    </pivotField>
    <pivotField dataField="1" numFmtId="164" showAll="0">
      <items count="2">
        <item x="0"/>
        <item t="default"/>
      </items>
    </pivotField>
    <pivotField dataField="1" numFmtId="164" showAll="0">
      <items count="3">
        <item x="1"/>
        <item x="0"/>
        <item t="default"/>
      </items>
    </pivotField>
  </pivotFields>
  <rowFields count="1">
    <field x="0"/>
  </rowFields>
  <rowItems count="5">
    <i>
      <x/>
    </i>
    <i>
      <x v="1"/>
    </i>
    <i>
      <x v="2"/>
    </i>
    <i>
      <x v="3"/>
    </i>
    <i t="grand">
      <x/>
    </i>
  </rowItems>
  <colFields count="1">
    <field x="-2"/>
  </colFields>
  <colItems count="4">
    <i>
      <x/>
    </i>
    <i i="1">
      <x v="1"/>
    </i>
    <i i="2">
      <x v="2"/>
    </i>
    <i i="3">
      <x v="3"/>
    </i>
  </colItems>
  <dataFields count="4">
    <dataField name="Completeness Score" fld="5" subtotal="average" baseField="0" baseItem="0" numFmtId="164"/>
    <dataField name="Uniqueness Score" fld="6" subtotal="average" baseField="0" baseItem="0" numFmtId="164"/>
    <dataField name="Validity Score" fld="7" subtotal="average" baseField="0" baseItem="0" numFmtId="164"/>
    <dataField name="Row Retention Score" fld="8" subtotal="average" baseField="0" baseItem="0" numFmtId="164"/>
  </dataFields>
  <formats count="3">
    <format dxfId="23">
      <pivotArea collapsedLevelsAreSubtotals="1" fieldPosition="0">
        <references count="2">
          <reference field="4294967294" count="1">
            <x v="3"/>
          </reference>
          <reference field="0" count="1" selected="0">
            <x v="1"/>
          </reference>
        </references>
      </pivotArea>
    </format>
    <format dxfId="24">
      <pivotArea field="0" grandRow="1" collapsedLevelsAreSubtotals="1" axis="axisRow" fieldPosition="0">
        <references count="1">
          <reference field="4294967294" count="1">
            <x v="3"/>
          </reference>
        </references>
      </pivotArea>
    </format>
    <format dxfId="25">
      <pivotArea outline="0" collapsedLevelsAreSubtotals="1" fieldPosition="0"/>
    </format>
  </formats>
  <chartFormats count="8">
    <chartFormat chart="15"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1"/>
          </reference>
        </references>
      </pivotArea>
    </chartFormat>
    <chartFormat chart="15" format="2" series="1">
      <pivotArea type="data" outline="0" fieldPosition="0">
        <references count="1">
          <reference field="4294967294" count="1" selected="0">
            <x v="2"/>
          </reference>
        </references>
      </pivotArea>
    </chartFormat>
    <chartFormat chart="15" format="3" series="1">
      <pivotArea type="data" outline="0" fieldPosition="0">
        <references count="1">
          <reference field="4294967294" count="1" selected="0">
            <x v="3"/>
          </reference>
        </references>
      </pivotArea>
    </chartFormat>
    <chartFormat chart="19" format="8" series="1">
      <pivotArea type="data" outline="0" fieldPosition="0">
        <references count="1">
          <reference field="4294967294" count="1" selected="0">
            <x v="0"/>
          </reference>
        </references>
      </pivotArea>
    </chartFormat>
    <chartFormat chart="19" format="9" series="1">
      <pivotArea type="data" outline="0" fieldPosition="0">
        <references count="1">
          <reference field="4294967294" count="1" selected="0">
            <x v="1"/>
          </reference>
        </references>
      </pivotArea>
    </chartFormat>
    <chartFormat chart="19" format="10" series="1">
      <pivotArea type="data" outline="0" fieldPosition="0">
        <references count="1">
          <reference field="4294967294" count="1" selected="0">
            <x v="2"/>
          </reference>
        </references>
      </pivotArea>
    </chartFormat>
    <chartFormat chart="19" format="11"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C776D1E-B3F8-469D-B740-D045E77EC76A}" name="PivotTable2"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D2:E7" firstHeaderRow="1" firstDataRow="1" firstDataCol="1"/>
  <pivotFields count="2">
    <pivotField axis="axisRow" showAll="0">
      <items count="5">
        <item x="0"/>
        <item x="1"/>
        <item x="2"/>
        <item x="3"/>
        <item t="default"/>
      </items>
    </pivotField>
    <pivotField dataField="1" numFmtId="171" showAll="0"/>
  </pivotFields>
  <rowFields count="1">
    <field x="0"/>
  </rowFields>
  <rowItems count="5">
    <i>
      <x/>
    </i>
    <i>
      <x v="1"/>
    </i>
    <i>
      <x v="2"/>
    </i>
    <i>
      <x v="3"/>
    </i>
    <i t="grand">
      <x/>
    </i>
  </rowItems>
  <colItems count="1">
    <i/>
  </colItems>
  <dataFields count="1">
    <dataField name="Sum of Overall Score" fld="1" baseField="0" baseItem="0" numFmtId="171"/>
  </dataFields>
  <chartFormats count="4">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210FF8F-50C3-47D8-AAA9-A90829F54A80}"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4">
  <location ref="A1:D6" firstHeaderRow="0" firstDataRow="1" firstDataCol="1"/>
  <pivotFields count="5">
    <pivotField axis="axisRow" showAll="0">
      <items count="5">
        <item x="2"/>
        <item x="1"/>
        <item x="3"/>
        <item x="0"/>
        <item t="default"/>
      </items>
    </pivotField>
    <pivotField dataField="1" showAll="0"/>
    <pivotField dataField="1" showAll="0"/>
    <pivotField dataField="1" showAll="0"/>
    <pivotField numFmtId="164" showAll="0"/>
  </pivotFields>
  <rowFields count="1">
    <field x="0"/>
  </rowFields>
  <rowItems count="5">
    <i>
      <x/>
    </i>
    <i>
      <x v="1"/>
    </i>
    <i>
      <x v="2"/>
    </i>
    <i>
      <x v="3"/>
    </i>
    <i t="grand">
      <x/>
    </i>
  </rowItems>
  <colFields count="1">
    <field x="-2"/>
  </colFields>
  <colItems count="3">
    <i>
      <x/>
    </i>
    <i i="1">
      <x v="1"/>
    </i>
    <i i="2">
      <x v="2"/>
    </i>
  </colItems>
  <dataFields count="3">
    <dataField name="Total Issues" fld="1" baseField="0" baseItem="0"/>
    <dataField name="Reduced Issues" fld="2" baseField="0" baseItem="0"/>
    <dataField name="Remaining Issues" fld="3" baseField="0" baseItem="0"/>
  </dataFields>
  <chartFormats count="6">
    <chartFormat chart="50" format="0" series="1">
      <pivotArea type="data" outline="0" fieldPosition="0">
        <references count="1">
          <reference field="4294967294" count="1" selected="0">
            <x v="0"/>
          </reference>
        </references>
      </pivotArea>
    </chartFormat>
    <chartFormat chart="50" format="1" series="1">
      <pivotArea type="data" outline="0" fieldPosition="0">
        <references count="1">
          <reference field="4294967294" count="1" selected="0">
            <x v="1"/>
          </reference>
        </references>
      </pivotArea>
    </chartFormat>
    <chartFormat chart="50" format="2" series="1">
      <pivotArea type="data" outline="0" fieldPosition="0">
        <references count="1">
          <reference field="4294967294" count="1" selected="0">
            <x v="2"/>
          </reference>
        </references>
      </pivotArea>
    </chartFormat>
    <chartFormat chart="55" format="6" series="1">
      <pivotArea type="data" outline="0" fieldPosition="0">
        <references count="1">
          <reference field="4294967294" count="1" selected="0">
            <x v="0"/>
          </reference>
        </references>
      </pivotArea>
    </chartFormat>
    <chartFormat chart="55" format="7" series="1">
      <pivotArea type="data" outline="0" fieldPosition="0">
        <references count="1">
          <reference field="4294967294" count="1" selected="0">
            <x v="1"/>
          </reference>
        </references>
      </pivotArea>
    </chartFormat>
    <chartFormat chart="55"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75E81686-A296-44B7-9DF5-D036041AD7D5}" sourceName="product">
  <pivotTables>
    <pivotTable tabId="14" name="PivotTable2"/>
  </pivotTables>
  <data>
    <tabular pivotCacheId="715696115">
      <items count="4">
        <i x="2" s="1"/>
        <i x="1"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 xr10:uid="{A96E1A19-F48C-4F61-A482-6CCD0F9D02A4}" sourceName="product">
  <pivotTables>
    <pivotTable tabId="13" name="PivotTable1"/>
  </pivotTables>
  <data>
    <tabular pivotCacheId="1658260399">
      <items count="4">
        <i x="0" s="1"/>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2" xr10:uid="{D4209417-25D7-472C-B203-5D90C2DCCD0F}" sourceName="Product">
  <pivotTables>
    <pivotTable tabId="18" name="PivotTable2"/>
  </pivotTables>
  <data>
    <tabular pivotCacheId="85965765">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9525893A-D43D-4F21-8379-727AD586FD77}" cache="Slicer_product1" caption="product"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2" xr10:uid="{08192652-4C39-4C2A-822D-435BAEE457A0}" cache="Slicer_Product2" caption="Product"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B8400369-724B-4321-BC3B-DFCB5A45C9C9}" cache="Slicer_product" caption="product"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3" xr10:uid="{F95B4297-0C33-465A-B3FA-C09369D779B5}" cache="Slicer_product1" caption="product"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0C641C8-E17E-4864-A823-6B0B044CD8B5}" name="Table12" displayName="Table12" ref="A1:I5" totalsRowShown="0" headerRowDxfId="32">
  <autoFilter ref="A1:I5" xr:uid="{70C641C8-E17E-4864-A823-6B0B044CD8B5}"/>
  <tableColumns count="9">
    <tableColumn id="1" xr3:uid="{255300D9-3B20-431D-92A4-8B311AD093A8}" name="product"/>
    <tableColumn id="2" xr3:uid="{1E1DD67E-68DF-4F75-8435-58AC8C42AE91}" name="rows_before_clean"/>
    <tableColumn id="3" xr3:uid="{FBAC98E4-EA90-4EAC-A80A-E32FDF7EA0AD}" name="rows_after_clean"/>
    <tableColumn id="4" xr3:uid="{11C01F73-3E61-4548-A510-65CFAD2FF90B}" name="rows_rem"/>
    <tableColumn id="5" xr3:uid="{753D29EC-821F-40AB-B735-4B3FCED9CADD}" name="duplicate_reduc"/>
    <tableColumn id="6" xr3:uid="{3F5A9B95-36D4-4616-AC92-DEA610463961}" name="completeness" dataDxfId="31"/>
    <tableColumn id="7" xr3:uid="{1CE922A8-6811-48B4-9E93-3FAC2FD37210}" name="uniqueness" dataDxfId="30"/>
    <tableColumn id="8" xr3:uid="{D58DDBD3-2367-4CC0-8247-ECAFD598FE93}" name="validity" dataDxfId="29"/>
    <tableColumn id="9" xr3:uid="{1F8FFAEA-9B12-4F92-987B-D71CE2BFA92E}" name="row_retention" dataDxfId="2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A00F067-74BA-4473-9B90-26CC17089166}" name="Table11" displayName="Table11" ref="A1:E5" totalsRowShown="0" headerRowDxfId="27" tableBorderDxfId="26">
  <autoFilter ref="A1:E5" xr:uid="{1A00F067-74BA-4473-9B90-26CC17089166}"/>
  <tableColumns count="5">
    <tableColumn id="1" xr3:uid="{3DAF244A-F962-4411-8473-4EC00494B072}" name="product"/>
    <tableColumn id="2" xr3:uid="{D5871DA8-3458-4210-9131-0BC9DA973561}" name="total_issues"/>
    <tableColumn id="3" xr3:uid="{2F2441AF-EA1A-4982-B12F-D746A1D93F32}" name="reduced_Issues"/>
    <tableColumn id="4" xr3:uid="{5C2C2D4B-6B84-4806-AA92-BE7194895534}" name="issues_dif">
      <calculatedColumnFormula>B2-C2</calculatedColumnFormula>
    </tableColumn>
    <tableColumn id="5" xr3:uid="{83B53BAE-BA42-4EDA-AAF3-D936855D165B}" name="issues_reduction(%)">
      <calculatedColumnFormula>(C2/B2)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F6746A-F2D3-419B-8F1C-0ED58A04B938}" name="Table1" displayName="Table1" ref="A1:B5" totalsRowShown="0" headerRowDxfId="21">
  <autoFilter ref="A1:B5" xr:uid="{EAF6746A-F2D3-419B-8F1C-0ED58A04B938}"/>
  <tableColumns count="2">
    <tableColumn id="1" xr3:uid="{0B009B81-48A6-48E3-B081-DBE4C8DDAAC4}" name="Product"/>
    <tableColumn id="2" xr3:uid="{EC447F7A-7B21-465C-9105-D1057DF87C59}" name="Overall Score" dataDxfId="2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ivotTable" Target="../pivotTables/pivotTabl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
  <sheetViews>
    <sheetView workbookViewId="0">
      <selection activeCell="B9" sqref="B9"/>
    </sheetView>
  </sheetViews>
  <sheetFormatPr defaultRowHeight="14.4" x14ac:dyDescent="0.3"/>
  <cols>
    <col min="1" max="1" width="9.5546875" customWidth="1"/>
    <col min="2" max="2" width="18.88671875" customWidth="1"/>
    <col min="3" max="3" width="17.33203125" customWidth="1"/>
    <col min="4" max="4" width="11.21875" customWidth="1"/>
    <col min="5" max="5" width="16.44140625" customWidth="1"/>
    <col min="6" max="6" width="15.109375" style="1" customWidth="1"/>
    <col min="7" max="7" width="13.6640625" style="2" bestFit="1" customWidth="1"/>
    <col min="8" max="8" width="9" style="2" customWidth="1"/>
    <col min="9" max="9" width="14.88671875" style="2" customWidth="1"/>
  </cols>
  <sheetData>
    <row r="1" spans="1:9" x14ac:dyDescent="0.3">
      <c r="A1" t="s">
        <v>12</v>
      </c>
      <c r="B1" t="s">
        <v>0</v>
      </c>
      <c r="C1" t="s">
        <v>1</v>
      </c>
      <c r="D1" t="s">
        <v>2</v>
      </c>
      <c r="E1" t="s">
        <v>3</v>
      </c>
      <c r="F1" s="1" t="s">
        <v>4</v>
      </c>
      <c r="G1" s="2" t="s">
        <v>5</v>
      </c>
      <c r="H1" s="2" t="s">
        <v>6</v>
      </c>
      <c r="I1" s="2" t="s">
        <v>7</v>
      </c>
    </row>
    <row r="2" spans="1:9" x14ac:dyDescent="0.3">
      <c r="A2" t="s">
        <v>10</v>
      </c>
      <c r="B2">
        <v>6000</v>
      </c>
      <c r="C2">
        <v>6000</v>
      </c>
      <c r="D2">
        <v>0</v>
      </c>
      <c r="E2">
        <v>0</v>
      </c>
      <c r="F2" s="1">
        <v>0.98599999999999999</v>
      </c>
      <c r="G2" s="2">
        <v>1</v>
      </c>
      <c r="H2" s="2">
        <v>1</v>
      </c>
      <c r="I2" s="2">
        <v>1</v>
      </c>
    </row>
    <row r="3" spans="1:9" x14ac:dyDescent="0.3">
      <c r="A3" t="s">
        <v>9</v>
      </c>
      <c r="B3">
        <v>6000</v>
      </c>
      <c r="C3">
        <v>5999</v>
      </c>
      <c r="D3">
        <v>1</v>
      </c>
      <c r="E3">
        <v>1</v>
      </c>
      <c r="F3" s="1">
        <v>0.96739456576095995</v>
      </c>
      <c r="G3" s="2">
        <v>1</v>
      </c>
      <c r="H3" s="2">
        <v>1</v>
      </c>
      <c r="I3" s="1">
        <v>0.99983333333333302</v>
      </c>
    </row>
    <row r="4" spans="1:9" x14ac:dyDescent="0.3">
      <c r="A4" t="s">
        <v>11</v>
      </c>
      <c r="B4">
        <v>6000</v>
      </c>
      <c r="C4">
        <v>6000</v>
      </c>
      <c r="D4">
        <v>0</v>
      </c>
      <c r="E4">
        <v>0</v>
      </c>
      <c r="F4" s="1">
        <v>0.97130000000000005</v>
      </c>
      <c r="G4" s="2">
        <v>1</v>
      </c>
      <c r="H4" s="2">
        <v>1</v>
      </c>
      <c r="I4" s="2">
        <v>1</v>
      </c>
    </row>
    <row r="5" spans="1:9" x14ac:dyDescent="0.3">
      <c r="A5" t="s">
        <v>8</v>
      </c>
      <c r="B5">
        <v>6000</v>
      </c>
      <c r="C5">
        <v>6000</v>
      </c>
      <c r="D5">
        <v>0</v>
      </c>
      <c r="E5">
        <v>0</v>
      </c>
      <c r="F5" s="1">
        <v>0.92879999999999996</v>
      </c>
      <c r="G5" s="2">
        <v>1</v>
      </c>
      <c r="H5" s="2">
        <v>1</v>
      </c>
      <c r="I5" s="2">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52981-935E-4488-9A58-CA16517C1842}">
  <dimension ref="A1:E5"/>
  <sheetViews>
    <sheetView workbookViewId="0">
      <selection activeCell="E9" sqref="E9"/>
    </sheetView>
  </sheetViews>
  <sheetFormatPr defaultRowHeight="14.4" x14ac:dyDescent="0.3"/>
  <cols>
    <col min="1" max="1" width="9.5546875" customWidth="1"/>
    <col min="2" max="2" width="12.6640625" customWidth="1"/>
    <col min="3" max="3" width="15.77734375" customWidth="1"/>
    <col min="4" max="4" width="11" customWidth="1"/>
    <col min="5" max="5" width="19.6640625" style="2" customWidth="1"/>
  </cols>
  <sheetData>
    <row r="1" spans="1:5" x14ac:dyDescent="0.3">
      <c r="A1" s="6" t="s">
        <v>12</v>
      </c>
      <c r="B1" s="6" t="s">
        <v>13</v>
      </c>
      <c r="C1" s="6" t="s">
        <v>14</v>
      </c>
      <c r="D1" s="6" t="s">
        <v>15</v>
      </c>
      <c r="E1" s="7" t="s">
        <v>16</v>
      </c>
    </row>
    <row r="2" spans="1:5" x14ac:dyDescent="0.3">
      <c r="A2" s="3" t="str">
        <f>'DATA Quality'!A5</f>
        <v>Zoom</v>
      </c>
      <c r="B2" s="3">
        <v>4</v>
      </c>
      <c r="C2" s="3">
        <v>3</v>
      </c>
      <c r="D2" s="3">
        <f>B2-C2</f>
        <v>1</v>
      </c>
      <c r="E2" s="4">
        <f>(C2/B2)</f>
        <v>0.75</v>
      </c>
    </row>
    <row r="3" spans="1:5" x14ac:dyDescent="0.3">
      <c r="A3" s="5" t="str">
        <f>'DATA Quality'!A3</f>
        <v>Teams</v>
      </c>
      <c r="B3" s="5">
        <v>4</v>
      </c>
      <c r="C3" s="5">
        <v>3</v>
      </c>
      <c r="D3" s="5">
        <f t="shared" ref="D3:D5" si="0">B3-C3</f>
        <v>1</v>
      </c>
      <c r="E3" s="8">
        <f t="shared" ref="E3:E5" si="1">(C3/B3)</f>
        <v>0.75</v>
      </c>
    </row>
    <row r="4" spans="1:5" x14ac:dyDescent="0.3">
      <c r="A4" s="3" t="str">
        <f>'DATA Quality'!A2</f>
        <v>Meet</v>
      </c>
      <c r="B4" s="3">
        <v>4</v>
      </c>
      <c r="C4" s="3">
        <v>3</v>
      </c>
      <c r="D4" s="3">
        <f t="shared" si="0"/>
        <v>1</v>
      </c>
      <c r="E4" s="4">
        <f t="shared" si="1"/>
        <v>0.75</v>
      </c>
    </row>
    <row r="5" spans="1:5" x14ac:dyDescent="0.3">
      <c r="A5" s="5" t="str">
        <f>'DATA Quality'!A4</f>
        <v>Webex</v>
      </c>
      <c r="B5" s="5">
        <v>4</v>
      </c>
      <c r="C5" s="5">
        <v>3</v>
      </c>
      <c r="D5" s="5">
        <f t="shared" si="0"/>
        <v>1</v>
      </c>
      <c r="E5" s="8">
        <f t="shared" si="1"/>
        <v>0.75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72164-C490-4B00-83BF-98EC204F41A2}">
  <dimension ref="A1:G14"/>
  <sheetViews>
    <sheetView workbookViewId="0">
      <selection activeCell="C29" sqref="C29"/>
    </sheetView>
  </sheetViews>
  <sheetFormatPr defaultRowHeight="14.4" x14ac:dyDescent="0.3"/>
  <cols>
    <col min="1" max="1" width="10.77734375" bestFit="1" customWidth="1"/>
    <col min="2" max="2" width="18.109375" bestFit="1" customWidth="1"/>
    <col min="3" max="3" width="16" bestFit="1" customWidth="1"/>
    <col min="4" max="4" width="12.44140625" bestFit="1" customWidth="1"/>
    <col min="5" max="5" width="18.6640625" bestFit="1" customWidth="1"/>
    <col min="6" max="7" width="15.33203125" style="14" bestFit="1" customWidth="1"/>
    <col min="8" max="16" width="18.6640625" bestFit="1" customWidth="1"/>
    <col min="17" max="17" width="22.88671875" bestFit="1" customWidth="1"/>
    <col min="18" max="18" width="20.77734375" bestFit="1" customWidth="1"/>
    <col min="19" max="19" width="17.33203125" bestFit="1" customWidth="1"/>
    <col min="20" max="20" width="23.44140625" bestFit="1" customWidth="1"/>
  </cols>
  <sheetData>
    <row r="1" spans="1:7" x14ac:dyDescent="0.3">
      <c r="B1" t="s">
        <v>25</v>
      </c>
      <c r="C1" t="s">
        <v>26</v>
      </c>
      <c r="D1" t="s">
        <v>27</v>
      </c>
      <c r="E1" t="s">
        <v>28</v>
      </c>
      <c r="F1"/>
      <c r="G1" s="11" t="s">
        <v>32</v>
      </c>
    </row>
    <row r="2" spans="1:7" x14ac:dyDescent="0.3">
      <c r="A2" s="10" t="s">
        <v>10</v>
      </c>
      <c r="B2" s="1">
        <v>0.98599999999999999</v>
      </c>
      <c r="C2" s="1">
        <v>1</v>
      </c>
      <c r="D2" s="1">
        <v>1</v>
      </c>
      <c r="E2" s="1">
        <v>1</v>
      </c>
      <c r="F2"/>
      <c r="G2" s="18">
        <v>3.9859999999999998</v>
      </c>
    </row>
    <row r="3" spans="1:7" x14ac:dyDescent="0.3">
      <c r="A3" s="10" t="s">
        <v>9</v>
      </c>
      <c r="B3" s="1">
        <v>0.96739456576095995</v>
      </c>
      <c r="C3" s="1">
        <v>1</v>
      </c>
      <c r="D3" s="1">
        <v>1</v>
      </c>
      <c r="E3" s="1">
        <v>0.99983333333333302</v>
      </c>
      <c r="F3"/>
      <c r="G3" s="18">
        <v>3.9672278990942931</v>
      </c>
    </row>
    <row r="4" spans="1:7" x14ac:dyDescent="0.3">
      <c r="A4" s="10" t="s">
        <v>11</v>
      </c>
      <c r="B4" s="1">
        <v>0.97130000000000005</v>
      </c>
      <c r="C4" s="1">
        <v>1</v>
      </c>
      <c r="D4" s="1">
        <v>1</v>
      </c>
      <c r="E4" s="1">
        <v>1</v>
      </c>
      <c r="F4"/>
      <c r="G4" s="18">
        <v>3.9713000000000003</v>
      </c>
    </row>
    <row r="5" spans="1:7" x14ac:dyDescent="0.3">
      <c r="A5" s="10" t="s">
        <v>8</v>
      </c>
      <c r="B5" s="1">
        <v>0.92879999999999996</v>
      </c>
      <c r="C5" s="1">
        <v>1</v>
      </c>
      <c r="D5" s="1">
        <v>1</v>
      </c>
      <c r="E5" s="1">
        <v>1</v>
      </c>
      <c r="F5"/>
      <c r="G5" s="18">
        <v>3.9287999999999998</v>
      </c>
    </row>
    <row r="6" spans="1:7" x14ac:dyDescent="0.3">
      <c r="A6" s="10" t="s">
        <v>18</v>
      </c>
      <c r="B6" s="1">
        <v>0.96337364144023996</v>
      </c>
      <c r="C6" s="1">
        <v>1</v>
      </c>
      <c r="D6" s="1">
        <v>1</v>
      </c>
      <c r="E6" s="1">
        <v>0.99995833333333328</v>
      </c>
      <c r="F6"/>
      <c r="G6"/>
    </row>
    <row r="10" spans="1:7" x14ac:dyDescent="0.3">
      <c r="A10" s="15"/>
      <c r="B10" s="15"/>
      <c r="C10" s="15"/>
      <c r="D10" s="15"/>
      <c r="E10" s="15"/>
    </row>
    <row r="11" spans="1:7" x14ac:dyDescent="0.3">
      <c r="A11" s="16"/>
      <c r="B11" s="17"/>
      <c r="C11" s="17"/>
      <c r="D11" s="17"/>
      <c r="E11" s="17"/>
    </row>
    <row r="12" spans="1:7" x14ac:dyDescent="0.3">
      <c r="A12" s="16"/>
      <c r="B12" s="17"/>
      <c r="C12" s="17"/>
      <c r="D12" s="17"/>
      <c r="E12" s="17"/>
    </row>
    <row r="13" spans="1:7" x14ac:dyDescent="0.3">
      <c r="A13" s="16"/>
      <c r="B13" s="17"/>
      <c r="C13" s="17"/>
      <c r="D13" s="17"/>
      <c r="E13" s="17"/>
    </row>
    <row r="14" spans="1:7" x14ac:dyDescent="0.3">
      <c r="A14" s="10"/>
      <c r="B14" s="1"/>
      <c r="C14" s="1"/>
      <c r="D14" s="1"/>
      <c r="E14" s="1"/>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8BF26-50DD-41D8-B260-6E3D61B27CF9}">
  <dimension ref="A1:E7"/>
  <sheetViews>
    <sheetView workbookViewId="0">
      <selection activeCell="D20" sqref="D20"/>
    </sheetView>
  </sheetViews>
  <sheetFormatPr defaultRowHeight="14.4" x14ac:dyDescent="0.3"/>
  <cols>
    <col min="1" max="1" width="9.5546875" customWidth="1"/>
    <col min="2" max="2" width="13.88671875" customWidth="1"/>
    <col min="4" max="4" width="12.5546875" bestFit="1" customWidth="1"/>
    <col min="5" max="5" width="18.6640625" bestFit="1" customWidth="1"/>
  </cols>
  <sheetData>
    <row r="1" spans="1:5" x14ac:dyDescent="0.3">
      <c r="A1" s="11" t="s">
        <v>33</v>
      </c>
      <c r="B1" s="11" t="s">
        <v>34</v>
      </c>
    </row>
    <row r="2" spans="1:5" x14ac:dyDescent="0.3">
      <c r="A2" t="s">
        <v>10</v>
      </c>
      <c r="B2" s="18">
        <v>3.9859999999999998</v>
      </c>
      <c r="D2" s="9" t="s">
        <v>17</v>
      </c>
      <c r="E2" t="s">
        <v>35</v>
      </c>
    </row>
    <row r="3" spans="1:5" x14ac:dyDescent="0.3">
      <c r="A3" t="s">
        <v>9</v>
      </c>
      <c r="B3" s="18">
        <v>3.9672278990942931</v>
      </c>
      <c r="D3" s="10" t="s">
        <v>10</v>
      </c>
      <c r="E3" s="18">
        <v>3.9859999999999998</v>
      </c>
    </row>
    <row r="4" spans="1:5" x14ac:dyDescent="0.3">
      <c r="A4" t="s">
        <v>11</v>
      </c>
      <c r="B4" s="18">
        <v>3.9713000000000003</v>
      </c>
      <c r="D4" s="10" t="s">
        <v>9</v>
      </c>
      <c r="E4" s="18">
        <v>3.9672278990942931</v>
      </c>
    </row>
    <row r="5" spans="1:5" x14ac:dyDescent="0.3">
      <c r="A5" t="s">
        <v>8</v>
      </c>
      <c r="B5" s="18">
        <v>3.9287999999999998</v>
      </c>
      <c r="D5" s="10" t="s">
        <v>11</v>
      </c>
      <c r="E5" s="18">
        <v>3.9713000000000003</v>
      </c>
    </row>
    <row r="6" spans="1:5" x14ac:dyDescent="0.3">
      <c r="D6" s="10" t="s">
        <v>8</v>
      </c>
      <c r="E6" s="18">
        <v>3.9287999999999998</v>
      </c>
    </row>
    <row r="7" spans="1:5" x14ac:dyDescent="0.3">
      <c r="D7" s="10" t="s">
        <v>18</v>
      </c>
      <c r="E7" s="18">
        <v>15.853327899094293</v>
      </c>
    </row>
  </sheetData>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DC6E5-A7F0-4F7E-B40C-147F107EE830}">
  <dimension ref="A1:D6"/>
  <sheetViews>
    <sheetView workbookViewId="0">
      <selection activeCell="C3" sqref="C3"/>
    </sheetView>
  </sheetViews>
  <sheetFormatPr defaultRowHeight="14.4" x14ac:dyDescent="0.3"/>
  <cols>
    <col min="1" max="1" width="12.5546875" bestFit="1" customWidth="1"/>
    <col min="2" max="2" width="10.6640625" bestFit="1" customWidth="1"/>
    <col min="3" max="3" width="13.88671875" bestFit="1" customWidth="1"/>
    <col min="4" max="4" width="15.44140625" bestFit="1" customWidth="1"/>
    <col min="5" max="5" width="5.88671875" bestFit="1" customWidth="1"/>
    <col min="6" max="6" width="10.77734375" bestFit="1" customWidth="1"/>
    <col min="7" max="12" width="20.5546875" bestFit="1" customWidth="1"/>
    <col min="13" max="13" width="22.21875" bestFit="1" customWidth="1"/>
    <col min="14" max="14" width="25.44140625" bestFit="1" customWidth="1"/>
    <col min="15" max="15" width="20.44140625" bestFit="1" customWidth="1"/>
  </cols>
  <sheetData>
    <row r="1" spans="1:4" x14ac:dyDescent="0.3">
      <c r="A1" s="9" t="s">
        <v>17</v>
      </c>
      <c r="B1" t="s">
        <v>29</v>
      </c>
      <c r="C1" t="s">
        <v>30</v>
      </c>
      <c r="D1" t="s">
        <v>31</v>
      </c>
    </row>
    <row r="2" spans="1:4" x14ac:dyDescent="0.3">
      <c r="A2" s="10" t="s">
        <v>10</v>
      </c>
      <c r="B2" s="13">
        <v>4</v>
      </c>
      <c r="C2" s="13">
        <v>3</v>
      </c>
      <c r="D2" s="13">
        <v>1</v>
      </c>
    </row>
    <row r="3" spans="1:4" x14ac:dyDescent="0.3">
      <c r="A3" s="10" t="s">
        <v>9</v>
      </c>
      <c r="B3" s="13">
        <v>4</v>
      </c>
      <c r="C3" s="13">
        <v>3</v>
      </c>
      <c r="D3" s="13">
        <v>1</v>
      </c>
    </row>
    <row r="4" spans="1:4" x14ac:dyDescent="0.3">
      <c r="A4" s="10" t="s">
        <v>11</v>
      </c>
      <c r="B4" s="13">
        <v>4</v>
      </c>
      <c r="C4" s="13">
        <v>3</v>
      </c>
      <c r="D4" s="13">
        <v>1</v>
      </c>
    </row>
    <row r="5" spans="1:4" x14ac:dyDescent="0.3">
      <c r="A5" s="10" t="s">
        <v>8</v>
      </c>
      <c r="B5" s="13">
        <v>4</v>
      </c>
      <c r="C5" s="13">
        <v>3</v>
      </c>
      <c r="D5" s="13">
        <v>1</v>
      </c>
    </row>
    <row r="6" spans="1:4" x14ac:dyDescent="0.3">
      <c r="A6" s="10" t="s">
        <v>18</v>
      </c>
      <c r="B6" s="13">
        <v>16</v>
      </c>
      <c r="C6" s="13">
        <v>12</v>
      </c>
      <c r="D6" s="13">
        <v>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04E2-C181-4AE4-ACB8-A1E58354D899}">
  <dimension ref="A1:B5"/>
  <sheetViews>
    <sheetView workbookViewId="0">
      <selection activeCell="B6" sqref="B6"/>
    </sheetView>
  </sheetViews>
  <sheetFormatPr defaultRowHeight="14.4" x14ac:dyDescent="0.3"/>
  <cols>
    <col min="1" max="1" width="13.77734375" customWidth="1"/>
    <col min="2" max="2" width="8.88671875" style="1"/>
  </cols>
  <sheetData>
    <row r="1" spans="1:2" x14ac:dyDescent="0.3">
      <c r="A1" s="11" t="s">
        <v>20</v>
      </c>
      <c r="B1" s="12" t="s">
        <v>19</v>
      </c>
    </row>
    <row r="2" spans="1:2" x14ac:dyDescent="0.3">
      <c r="A2" t="s">
        <v>21</v>
      </c>
      <c r="B2" s="1">
        <f>GETPIVOTDATA("Completeness Score",PT_Data_Quality_Score!$A$1)</f>
        <v>0.96337364144023996</v>
      </c>
    </row>
    <row r="3" spans="1:2" x14ac:dyDescent="0.3">
      <c r="A3" t="s">
        <v>22</v>
      </c>
      <c r="B3" s="1">
        <f>GETPIVOTDATA("Uniqueness Score",PT_Data_Quality_Score!$A$1)</f>
        <v>1</v>
      </c>
    </row>
    <row r="4" spans="1:2" x14ac:dyDescent="0.3">
      <c r="A4" t="s">
        <v>23</v>
      </c>
      <c r="B4" s="1">
        <f>GETPIVOTDATA("Validity Score",PT_Data_Quality_Score!$A$1)</f>
        <v>1</v>
      </c>
    </row>
    <row r="5" spans="1:2" x14ac:dyDescent="0.3">
      <c r="A5" t="s">
        <v>24</v>
      </c>
      <c r="B5" s="1">
        <f>GETPIVOTDATA("Row Retention Score",PT_Data_Quality_Score!$A$1)</f>
        <v>0.99995833333333328</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D2CB3-52D7-45B7-94B2-9621EBC75DEA}">
  <sheetPr>
    <pageSetUpPr autoPageBreaks="0"/>
  </sheetPr>
  <dimension ref="Q1:AB3"/>
  <sheetViews>
    <sheetView showGridLines="0" tabSelected="1" topLeftCell="E1" zoomScale="69" zoomScaleNormal="67" workbookViewId="0">
      <selection activeCell="N22" sqref="N22"/>
    </sheetView>
  </sheetViews>
  <sheetFormatPr defaultRowHeight="14.4" x14ac:dyDescent="0.3"/>
  <cols>
    <col min="1" max="18" width="8.88671875" style="19"/>
    <col min="19" max="20" width="8.88671875" style="19" customWidth="1"/>
    <col min="21" max="27" width="8.88671875" style="19"/>
    <col min="28" max="28" width="8.88671875" style="19" customWidth="1"/>
    <col min="29" max="16384" width="8.88671875" style="19"/>
  </cols>
  <sheetData>
    <row r="1" spans="17:28" ht="14.4" customHeight="1" x14ac:dyDescent="0.3">
      <c r="Q1" s="20" t="s">
        <v>36</v>
      </c>
      <c r="R1" s="20"/>
      <c r="S1" s="20"/>
      <c r="T1" s="20"/>
      <c r="U1" s="20"/>
      <c r="V1" s="20"/>
      <c r="W1" s="20"/>
      <c r="X1" s="20"/>
      <c r="Y1" s="20"/>
      <c r="Z1" s="20"/>
      <c r="AA1" s="20"/>
      <c r="AB1" s="20"/>
    </row>
    <row r="2" spans="17:28" ht="14.4" customHeight="1" x14ac:dyDescent="0.3">
      <c r="Q2" s="20"/>
      <c r="R2" s="20"/>
      <c r="S2" s="20"/>
      <c r="T2" s="20"/>
      <c r="U2" s="20"/>
      <c r="V2" s="20"/>
      <c r="W2" s="20"/>
      <c r="X2" s="20"/>
      <c r="Y2" s="20"/>
      <c r="Z2" s="20"/>
      <c r="AA2" s="20"/>
      <c r="AB2" s="20"/>
    </row>
    <row r="3" spans="17:28" ht="14.4" customHeight="1" x14ac:dyDescent="0.3">
      <c r="Q3" s="20"/>
      <c r="R3" s="20"/>
      <c r="S3" s="20"/>
      <c r="T3" s="20"/>
      <c r="U3" s="20"/>
      <c r="V3" s="20"/>
      <c r="W3" s="20"/>
      <c r="X3" s="20"/>
      <c r="Y3" s="20"/>
      <c r="Z3" s="20"/>
      <c r="AA3" s="20"/>
      <c r="AB3" s="20"/>
    </row>
  </sheetData>
  <mergeCells count="1">
    <mergeCell ref="Q1:AB3"/>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 Quality</vt:lpstr>
      <vt:lpstr>Issues Reduced</vt:lpstr>
      <vt:lpstr>PT_Data_Quality_Score</vt:lpstr>
      <vt:lpstr>Overall Scoring</vt:lpstr>
      <vt:lpstr>PT_Issues</vt:lpstr>
      <vt:lpstr>KPIs</vt:lpstr>
      <vt:lpstr>Data Quality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Ujjwal Karki</dc:creator>
  <cp:lastModifiedBy>Ujjwal Karki</cp:lastModifiedBy>
  <dcterms:created xsi:type="dcterms:W3CDTF">2015-06-05T18:17:20Z</dcterms:created>
  <dcterms:modified xsi:type="dcterms:W3CDTF">2026-09-03T06:34:55Z</dcterms:modified>
</cp:coreProperties>
</file>